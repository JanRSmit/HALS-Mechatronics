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HALS-DOCUMENTATION\GitHub-CABLING&amp;MOTION\GitHub-MOTION (Electronics-Motors)\"/>
    </mc:Choice>
  </mc:AlternateContent>
  <xr:revisionPtr revIDLastSave="0" documentId="13_ncr:1_{017BC759-7116-48AC-8E8E-3F425BA983D0}" xr6:coauthVersionLast="47" xr6:coauthVersionMax="47" xr10:uidLastSave="{00000000-0000-0000-0000-000000000000}"/>
  <bookViews>
    <workbookView xWindow="29835" yWindow="765" windowWidth="14835" windowHeight="14340" xr2:uid="{8333F955-A27C-4B88-A7ED-A9DB64ADCAE5}"/>
  </bookViews>
  <sheets>
    <sheet name="GRBLHAL Configuration" sheetId="1" r:id="rId1"/>
  </sheets>
  <definedNames>
    <definedName name="_xlnm._FilterDatabase" localSheetId="0" hidden="1">'GRBLHAL Configuration'!$A$32:$F$115</definedName>
    <definedName name="_xlnm.Print_Area" localSheetId="0">'GRBLHAL Configuration'!$B$33:$F$75</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69" i="1" l="1"/>
  <c r="G68" i="1"/>
  <c r="G67" i="1"/>
  <c r="I66" i="1"/>
  <c r="F66" i="1" s="1"/>
  <c r="F64" i="1"/>
  <c r="N66" i="1" l="1"/>
  <c r="K69" i="1"/>
  <c r="N69" i="1" s="1"/>
  <c r="N65" i="1"/>
  <c r="K68" i="1"/>
  <c r="N68" i="1" s="1"/>
  <c r="K67" i="1"/>
  <c r="N67" i="1" s="1"/>
  <c r="N6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JanRSmit</author>
  </authors>
  <commentList>
    <comment ref="E32" authorId="0" shapeId="0" xr:uid="{A5423D2A-A45F-44C7-A14C-69BF067EFCA1}">
      <text>
        <r>
          <rPr>
            <b/>
            <sz val="9"/>
            <color indexed="81"/>
            <rFont val="Tahoma"/>
            <charset val="1"/>
          </rPr>
          <t>JanRSmit: 22/01/2026 Test</t>
        </r>
        <r>
          <rPr>
            <sz val="9"/>
            <color indexed="81"/>
            <rFont val="Tahoma"/>
            <charset val="1"/>
          </rPr>
          <t xml:space="preserve">
NUC 3
W10
UGS
</t>
        </r>
      </text>
    </comment>
    <comment ref="F33" authorId="0" shapeId="0" xr:uid="{CB21D524-8C84-44F2-86E4-D9339D59062C}">
      <text>
        <r>
          <rPr>
            <b/>
            <sz val="9"/>
            <color indexed="81"/>
            <rFont val="Tahoma"/>
            <family val="2"/>
          </rPr>
          <t>JanRSmit:</t>
        </r>
        <r>
          <rPr>
            <sz val="9"/>
            <color indexed="81"/>
            <rFont val="Tahoma"/>
            <family val="2"/>
          </rPr>
          <t xml:space="preserve">
BTT SKR3EZ is clock 25MHz, dus veel korte puls duur mogelijk
</t>
        </r>
      </text>
    </comment>
    <comment ref="F37" authorId="0" shapeId="0" xr:uid="{2472E1F6-749D-4B92-AA1D-EE18B2D50425}">
      <text>
        <r>
          <rPr>
            <b/>
            <sz val="9"/>
            <color indexed="81"/>
            <rFont val="Tahoma"/>
            <charset val="1"/>
          </rPr>
          <t>JanRSmit:</t>
        </r>
        <r>
          <rPr>
            <sz val="9"/>
            <color indexed="81"/>
            <rFont val="Tahoma"/>
            <charset val="1"/>
          </rPr>
          <t xml:space="preserve">
op 0 nav harmonicdrive tests op 20260127
De PHI-as rotatie naar home is ccw
Voor IOSender homing staat dit op 6(XYZ) </t>
        </r>
      </text>
    </comment>
    <comment ref="F40" authorId="0" shapeId="0" xr:uid="{16024AD9-6F70-43B5-A041-757248B223A8}">
      <text>
        <r>
          <rPr>
            <b/>
            <sz val="9"/>
            <color indexed="81"/>
            <rFont val="Tahoma"/>
            <family val="2"/>
          </rPr>
          <t>JanRSmit:</t>
        </r>
        <r>
          <rPr>
            <sz val="9"/>
            <color indexed="81"/>
            <rFont val="Tahoma"/>
            <family val="2"/>
          </rPr>
          <t xml:space="preserve">
To provide only the wcs data for the Python porgram
</t>
        </r>
      </text>
    </comment>
    <comment ref="E47" authorId="0" shapeId="0" xr:uid="{7FC27866-E9A5-4FCD-9CF2-FB14DFDC0DB9}">
      <text>
        <r>
          <rPr>
            <b/>
            <sz val="9"/>
            <color indexed="81"/>
            <rFont val="Tahoma"/>
            <charset val="1"/>
          </rPr>
          <t>JanRSmit:</t>
        </r>
        <r>
          <rPr>
            <sz val="9"/>
            <color indexed="81"/>
            <rFont val="Tahoma"/>
            <charset val="1"/>
          </rPr>
          <t xml:space="preserve">
Running UGS as sender:
Went through each $n setting relevant for homing (i hope).
The order of axes in homing is Y X Z (Set with IOSender)
Homing direction: 
Tested with $23 =  0, Y axis ok, X wrong direction and caused alarm
Set $23 to 1 (nyn), Y-axis ok, X right direction(towards endstop) but after 10mm an Alarm again.
The endstops stay closed (tested with multimeter on Voltage)
Swapped 5160pro drivers: did not help.
Double checked the microswitches. One of the X axle was mushy, so replaced. Measure Ohm with multimeter, must switch to infinite or some ohm value (1.1 or similar) directly and be stable.
Did not help, still after 10mm or so moving the X axis throws Alarm 8 (the switches stayed closed!)
Swapping the motor connectors to controller of X and Y did not help either.
20260123: It is either hardware(connectors, board)  or firmware related
Switch back to Arduino/CNCshield for the NFSROBOT.</t>
        </r>
      </text>
    </comment>
    <comment ref="F64" authorId="0" shapeId="0" xr:uid="{5A8D6751-1DEB-4227-83CF-D92106A1FBC1}">
      <text>
        <r>
          <rPr>
            <b/>
            <sz val="9"/>
            <color indexed="81"/>
            <rFont val="Tahoma"/>
            <family val="2"/>
          </rPr>
          <t>JanRSmit:</t>
        </r>
        <r>
          <rPr>
            <sz val="9"/>
            <color indexed="81"/>
            <rFont val="Tahoma"/>
            <family val="2"/>
          </rPr>
          <t xml:space="preserve">
When calibrating, this value will be corrected.</t>
        </r>
      </text>
    </comment>
    <comment ref="G64" authorId="0" shapeId="0" xr:uid="{30D16698-4B5F-4E64-A574-D06C7D11AA7F}">
      <text>
        <r>
          <rPr>
            <b/>
            <sz val="9"/>
            <color indexed="81"/>
            <rFont val="Tahoma"/>
            <family val="2"/>
          </rPr>
          <t>JanRSmit:</t>
        </r>
        <r>
          <rPr>
            <sz val="9"/>
            <color indexed="81"/>
            <rFont val="Tahoma"/>
            <family val="2"/>
          </rPr>
          <t xml:space="preserve">
Motor steps per revolution
</t>
        </r>
      </text>
    </comment>
    <comment ref="H64" authorId="0" shapeId="0" xr:uid="{96D2D47E-1664-4C08-8375-B58F665B20BE}">
      <text>
        <r>
          <rPr>
            <b/>
            <sz val="9"/>
            <color indexed="81"/>
            <rFont val="Tahoma"/>
            <family val="2"/>
          </rPr>
          <t>JanRSmit:</t>
        </r>
        <r>
          <rPr>
            <sz val="9"/>
            <color indexed="81"/>
            <rFont val="Tahoma"/>
            <family val="2"/>
          </rPr>
          <t xml:space="preserve">
Driver Microsteps
</t>
        </r>
      </text>
    </comment>
    <comment ref="I64" authorId="0" shapeId="0" xr:uid="{F8AD8B5A-1F46-4602-B5A8-A3A9126C96A7}">
      <text>
        <r>
          <rPr>
            <b/>
            <sz val="9"/>
            <color indexed="81"/>
            <rFont val="Tahoma"/>
            <family val="2"/>
          </rPr>
          <t>JanRSmit:</t>
        </r>
        <r>
          <rPr>
            <sz val="9"/>
            <color indexed="81"/>
            <rFont val="Tahoma"/>
            <family val="2"/>
          </rPr>
          <t xml:space="preserve">
Reduction
</t>
        </r>
      </text>
    </comment>
    <comment ref="J64" authorId="0" shapeId="0" xr:uid="{ADEDD30F-6518-450E-A94B-EB91B4F62163}">
      <text>
        <r>
          <rPr>
            <b/>
            <sz val="9"/>
            <color indexed="81"/>
            <rFont val="Tahoma"/>
            <family val="2"/>
          </rPr>
          <t>JanRSmit:</t>
        </r>
        <r>
          <rPr>
            <sz val="9"/>
            <color indexed="81"/>
            <rFont val="Tahoma"/>
            <family val="2"/>
          </rPr>
          <t xml:space="preserve">
Pulley teeth
</t>
        </r>
      </text>
    </comment>
    <comment ref="K64" authorId="0" shapeId="0" xr:uid="{31A4634B-186B-469B-A27C-517AC8F6F13A}">
      <text>
        <r>
          <rPr>
            <b/>
            <sz val="9"/>
            <color indexed="81"/>
            <rFont val="Tahoma"/>
            <family val="2"/>
          </rPr>
          <t>JanRSmit:</t>
        </r>
        <r>
          <rPr>
            <sz val="9"/>
            <color indexed="81"/>
            <rFont val="Tahoma"/>
            <family val="2"/>
          </rPr>
          <t xml:space="preserve">
Belt pitch in mm</t>
        </r>
      </text>
    </comment>
    <comment ref="F65" authorId="0" shapeId="0" xr:uid="{5B546B53-757B-4BB2-830C-8DBF6DAD8C28}">
      <text>
        <r>
          <rPr>
            <b/>
            <sz val="9"/>
            <color indexed="81"/>
            <rFont val="Tahoma"/>
            <family val="2"/>
          </rPr>
          <t>JanRSmit:</t>
        </r>
        <r>
          <rPr>
            <sz val="9"/>
            <color indexed="81"/>
            <rFont val="Tahoma"/>
            <family val="2"/>
          </rPr>
          <t xml:space="preserve">
When calibrating, this value will be corrected.</t>
        </r>
      </text>
    </comment>
    <comment ref="H65" authorId="0" shapeId="0" xr:uid="{8B2269A7-6F13-497A-B276-05A8CF4BE033}">
      <text>
        <r>
          <rPr>
            <b/>
            <sz val="9"/>
            <color indexed="81"/>
            <rFont val="Tahoma"/>
            <charset val="1"/>
          </rPr>
          <t>JanRSmit:</t>
        </r>
        <r>
          <rPr>
            <sz val="9"/>
            <color indexed="81"/>
            <rFont val="Tahoma"/>
            <charset val="1"/>
          </rPr>
          <t xml:space="preserve">
Chosen 32 to reduce idling noises
</t>
        </r>
      </text>
    </comment>
    <comment ref="F66" authorId="0" shapeId="0" xr:uid="{C0BC4539-10FA-4AEC-98AE-A3C1AA32F0D4}">
      <text>
        <r>
          <rPr>
            <b/>
            <sz val="9"/>
            <color indexed="81"/>
            <rFont val="Tahoma"/>
            <family val="2"/>
          </rPr>
          <t>JanRSmit:</t>
        </r>
        <r>
          <rPr>
            <sz val="9"/>
            <color indexed="81"/>
            <rFont val="Tahoma"/>
            <family val="2"/>
          </rPr>
          <t xml:space="preserve">
Calibration may change this value, in this case it is correct.
</t>
        </r>
      </text>
    </comment>
    <comment ref="I66" authorId="0" shapeId="0" xr:uid="{3599CD64-1CE2-4972-8B91-66E6E1AAC9A9}">
      <text>
        <r>
          <rPr>
            <b/>
            <sz val="9"/>
            <color indexed="81"/>
            <rFont val="Tahoma"/>
            <charset val="1"/>
          </rPr>
          <t>JanRSmit:</t>
        </r>
        <r>
          <rPr>
            <sz val="9"/>
            <color indexed="81"/>
            <rFont val="Tahoma"/>
            <charset val="1"/>
          </rPr>
          <t xml:space="preserve">
Total: 10x13.5=135
Reduction: 10
Tooth-gear:13.5 (290/20=13.5)
</t>
        </r>
      </text>
    </comment>
    <comment ref="J66" authorId="0" shapeId="0" xr:uid="{E592FAD7-7D22-4196-B00A-A7E0B5906EAE}">
      <text>
        <r>
          <rPr>
            <b/>
            <sz val="9"/>
            <color indexed="81"/>
            <rFont val="Tahoma"/>
            <family val="2"/>
          </rPr>
          <t>JanRSmit:</t>
        </r>
        <r>
          <rPr>
            <sz val="9"/>
            <color indexed="81"/>
            <rFont val="Tahoma"/>
            <family val="2"/>
          </rPr>
          <t xml:space="preserve">
Circle: 360 degrees
</t>
        </r>
      </text>
    </comment>
    <comment ref="K66" authorId="0" shapeId="0" xr:uid="{B2FDED6A-8894-4D61-976A-3E84E6E86080}">
      <text>
        <r>
          <rPr>
            <b/>
            <sz val="9"/>
            <color indexed="81"/>
            <rFont val="Tahoma"/>
            <family val="2"/>
          </rPr>
          <t>JanRSmit:</t>
        </r>
        <r>
          <rPr>
            <sz val="9"/>
            <color indexed="81"/>
            <rFont val="Tahoma"/>
            <family val="2"/>
          </rPr>
          <t xml:space="preserve">
Is 1 degree
</t>
        </r>
      </text>
    </comment>
    <comment ref="F80" authorId="0" shapeId="0" xr:uid="{A170E76E-6449-4CE8-8F0F-96F46400A645}">
      <text>
        <r>
          <rPr>
            <b/>
            <sz val="9"/>
            <color indexed="81"/>
            <rFont val="Tahoma"/>
            <family val="2"/>
          </rPr>
          <t>JanRSmit:</t>
        </r>
        <r>
          <rPr>
            <sz val="9"/>
            <color indexed="81"/>
            <rFont val="Tahoma"/>
            <family val="2"/>
          </rPr>
          <t xml:space="preserve">
I increased the setting to 32 to make the motor more silent when idling.
</t>
        </r>
      </text>
    </comment>
    <comment ref="F87" authorId="0" shapeId="0" xr:uid="{9588FBA3-76F9-433D-85EB-AFCCF03014B0}">
      <text>
        <r>
          <rPr>
            <b/>
            <sz val="9"/>
            <color indexed="81"/>
            <rFont val="Tahoma"/>
            <charset val="1"/>
          </rPr>
          <t>JanRSmit:</t>
        </r>
        <r>
          <rPr>
            <sz val="9"/>
            <color indexed="81"/>
            <rFont val="Tahoma"/>
            <charset val="1"/>
          </rPr>
          <t xml:space="preserve">
lowered to reduce noise when in hold
</t>
        </r>
      </text>
    </comment>
  </commentList>
</comments>
</file>

<file path=xl/sharedStrings.xml><?xml version="1.0" encoding="utf-8"?>
<sst xmlns="http://schemas.openxmlformats.org/spreadsheetml/2006/main" count="330" uniqueCount="253">
  <si>
    <t>#</t>
  </si>
  <si>
    <t>Decisions</t>
  </si>
  <si>
    <t>GBRL001</t>
  </si>
  <si>
    <t>Configuration of GBRL to match the motorisation of PHI, R-axis and Z-axis movements including gearing and stepper-driver microsteps.</t>
  </si>
  <si>
    <t>GBRL002</t>
  </si>
  <si>
    <r>
      <t xml:space="preserve">Decide on mapping of the NFSROBOT axis on the typical X Y Z axis of GRBL/Gcode.
</t>
    </r>
    <r>
      <rPr>
        <b/>
        <sz val="11"/>
        <color theme="1"/>
        <rFont val="Calibri"/>
        <family val="2"/>
        <scheme val="minor"/>
      </rPr>
      <t>Mapping:    x &gt; Z,    y &gt; R(adius),    z &gt; PHI rotation</t>
    </r>
  </si>
  <si>
    <t>GBRL003</t>
  </si>
  <si>
    <t xml:space="preserve">Design the homing procedure, in my controller etc it is done. </t>
  </si>
  <si>
    <t>GBRL004</t>
  </si>
  <si>
    <t xml:space="preserve">Current setting on PHI (Z), around 2.3Vref, higher will lead to interrupts on driver. Will set other axisses also to 2.3 Vref.  </t>
  </si>
  <si>
    <t>GBRL005</t>
  </si>
  <si>
    <t>The feedrates with the default setting of 8 microsteps on the TMC2009 is limited by the max pulse frequency of the Arduino UNO + CNC-Shield.</t>
  </si>
  <si>
    <t>GBRL006</t>
  </si>
  <si>
    <t>The feedrates for now are in the GRBL config table below</t>
  </si>
  <si>
    <t>GBRL007</t>
  </si>
  <si>
    <t>PHI axis drive has some backlash, need to rethink design!!! For first test by Tom Kamphuys is suffices for now.</t>
  </si>
  <si>
    <t>GBRL008</t>
  </si>
  <si>
    <t>Adding extra Gcode and Mcode given the use of BTTSKR3EZ + GBRLHAL
Check: https://github.com/grblHAL/Plugins_motor/</t>
  </si>
  <si>
    <t>GBRL009</t>
  </si>
  <si>
    <t>All configuration settings need to be redone due to the swap to BTT SKR3EZ and grblHAL firmware. Backup file made with IOSender, basically also the tool for configuration.</t>
  </si>
  <si>
    <t>GBRL010</t>
  </si>
  <si>
    <t>In the GRBLHAL settings table below grouping is added to match the IOSender structure, being the GRBL sender for grblHAL</t>
  </si>
  <si>
    <t>GBRL011</t>
  </si>
  <si>
    <t>Latest grblHAL firmware via Webbuilder compiled: 
grblHAL build/patch 20260107 ; STM32H7xx ; BTT SKR 3 H723 (bootloader); all options disabled or not checked, except for Trinamic drivers: TMC5160 R sense : 75 mOhm, plus Added extendes settings</t>
  </si>
  <si>
    <t>GBRL012</t>
  </si>
  <si>
    <t>Endstops mode NC , connected to board, the EXT2 pins for Cycle Start, Feed Hold, and Reset inputs tied to ground (to avoid having to change any settings)</t>
  </si>
  <si>
    <t>GBRL013</t>
  </si>
  <si>
    <t>Firmware (Bootloader) copied to sd card. 
All settings reset with RST=*</t>
  </si>
  <si>
    <t>GBRL014</t>
  </si>
  <si>
    <t>GRBL settings adapted for HarmonicDrive, the PHI axis to move positive direction to home means counterclockwise rotation when looking top down .</t>
  </si>
  <si>
    <t>GBRL015</t>
  </si>
  <si>
    <t>Check the grblHAL table below for notes attached to cells for additional decision points.</t>
  </si>
  <si>
    <t>GBRL016</t>
  </si>
  <si>
    <t>GBRL017</t>
  </si>
  <si>
    <t>GBRL018</t>
  </si>
  <si>
    <t>GBRL019</t>
  </si>
  <si>
    <t>GBRL020</t>
  </si>
  <si>
    <t>GBRL021</t>
  </si>
  <si>
    <t>GBRL022</t>
  </si>
  <si>
    <t>GBRL023</t>
  </si>
  <si>
    <t>GBRL024</t>
  </si>
  <si>
    <t>Group</t>
  </si>
  <si>
    <t>grblHAL Settings</t>
  </si>
  <si>
    <t>UGS</t>
  </si>
  <si>
    <t>Values set</t>
  </si>
  <si>
    <t>Stepper</t>
  </si>
  <si>
    <t>$0</t>
  </si>
  <si>
    <t>Step pulse, microseconds</t>
  </si>
  <si>
    <t>$1</t>
  </si>
  <si>
    <t>Step idle delay, milliseconds</t>
  </si>
  <si>
    <t>$2</t>
  </si>
  <si>
    <r>
      <t xml:space="preserve">Step port invert, </t>
    </r>
    <r>
      <rPr>
        <b/>
        <sz val="11"/>
        <color theme="1"/>
        <rFont val="Calibri"/>
        <family val="2"/>
        <scheme val="minor"/>
      </rPr>
      <t>XYZmask</t>
    </r>
    <r>
      <rPr>
        <sz val="11"/>
        <color theme="1"/>
        <rFont val="Calibri"/>
        <family val="2"/>
        <scheme val="minor"/>
      </rPr>
      <t>*</t>
    </r>
  </si>
  <si>
    <t>(Y axis (Arm)) Needed to get correct response when using f.i. G90 to move to 0</t>
  </si>
  <si>
    <t>$3</t>
  </si>
  <si>
    <r>
      <t xml:space="preserve">Direction port invert, </t>
    </r>
    <r>
      <rPr>
        <b/>
        <sz val="11"/>
        <color theme="1"/>
        <rFont val="Calibri"/>
        <family val="2"/>
        <scheme val="minor"/>
      </rPr>
      <t>XYZmask</t>
    </r>
    <r>
      <rPr>
        <sz val="11"/>
        <color theme="1"/>
        <rFont val="Calibri"/>
        <family val="2"/>
        <scheme val="minor"/>
      </rPr>
      <t>* (*:The direction each axis moves.)</t>
    </r>
  </si>
  <si>
    <t>$4</t>
  </si>
  <si>
    <t>Step enable invert, (0=Disable, 1=Invert)</t>
  </si>
  <si>
    <t>Limits</t>
  </si>
  <si>
    <t>$5</t>
  </si>
  <si>
    <t>Limit pins invert, (0=N-Open. 1=N-Close)</t>
  </si>
  <si>
    <t>N.A.</t>
  </si>
  <si>
    <t>$6</t>
  </si>
  <si>
    <t>Probe pin invert, (0=N-Open. 1=N-Close)</t>
  </si>
  <si>
    <t>nvt</t>
  </si>
  <si>
    <t>General</t>
  </si>
  <si>
    <t>$10</t>
  </si>
  <si>
    <t>Status report, ‘?’ status. 0=WCS position, 1=Machine position, 2= plan/buffer and WCS position, 3=plan/buffer and Machine position.</t>
  </si>
  <si>
    <t>$11</t>
  </si>
  <si>
    <t>Junction deviation, mm</t>
  </si>
  <si>
    <t>$12</t>
  </si>
  <si>
    <t>Arc tolerance, mm</t>
  </si>
  <si>
    <t>$13</t>
  </si>
  <si>
    <t>Report in inches, (0=mm. 1=Inches)**</t>
  </si>
  <si>
    <t>$20</t>
  </si>
  <si>
    <t>Soft limits, (0=Disable. 1=Enable, Homing must be enabled)</t>
  </si>
  <si>
    <t>$21</t>
  </si>
  <si>
    <t>Hard limits, (0=Disable. 1=Enable)</t>
  </si>
  <si>
    <t>Homing</t>
  </si>
  <si>
    <t>$22</t>
  </si>
  <si>
    <t>Homing cycle, (0=Disable. 1=Enable)</t>
  </si>
  <si>
    <t>$23</t>
  </si>
  <si>
    <r>
      <t xml:space="preserve">Homing direction invert, </t>
    </r>
    <r>
      <rPr>
        <b/>
        <sz val="11"/>
        <color theme="1"/>
        <rFont val="Calibri"/>
        <family val="2"/>
        <scheme val="minor"/>
      </rPr>
      <t>XYZmask</t>
    </r>
    <r>
      <rPr>
        <sz val="11"/>
        <color theme="1"/>
        <rFont val="Calibri"/>
        <family val="2"/>
        <scheme val="minor"/>
      </rPr>
      <t>* Sets which corner it homes to.</t>
    </r>
  </si>
  <si>
    <t>$24</t>
  </si>
  <si>
    <t>Homing feed, mm/min</t>
  </si>
  <si>
    <t>$25</t>
  </si>
  <si>
    <t>Homing seek, mm/min</t>
  </si>
  <si>
    <t>$26</t>
  </si>
  <si>
    <t>Homing debounce, milliseconds</t>
  </si>
  <si>
    <t>$27</t>
  </si>
  <si>
    <t>Homing pull-off, mm</t>
  </si>
  <si>
    <t>$28</t>
  </si>
  <si>
    <t>G73 Retract distance</t>
  </si>
  <si>
    <t>$29</t>
  </si>
  <si>
    <t>Pulse delay (microseconds)</t>
  </si>
  <si>
    <t>$30</t>
  </si>
  <si>
    <t>Max spindle speed, RPM</t>
  </si>
  <si>
    <t>$31</t>
  </si>
  <si>
    <t>Min spindle speed, RPM</t>
  </si>
  <si>
    <t>$32</t>
  </si>
  <si>
    <t>Laser mode, (0=Off, 1=On)</t>
  </si>
  <si>
    <t>$37</t>
  </si>
  <si>
    <t>Steppers to keep enabled</t>
  </si>
  <si>
    <t>$43</t>
  </si>
  <si>
    <t>Homing passes</t>
  </si>
  <si>
    <t>$44</t>
  </si>
  <si>
    <t>Axes homing, first phase (X=1, Y=2, Z=4): Y=2</t>
  </si>
  <si>
    <t>$45</t>
  </si>
  <si>
    <t>Axes homing, second phase XZ=5</t>
  </si>
  <si>
    <t>$46</t>
  </si>
  <si>
    <t xml:space="preserve">Axes homing, third phase </t>
  </si>
  <si>
    <t>X-Axis</t>
  </si>
  <si>
    <t>$100</t>
  </si>
  <si>
    <r>
      <t xml:space="preserve">Number of X steps to move 1mm  </t>
    </r>
    <r>
      <rPr>
        <b/>
        <sz val="11"/>
        <color theme="1"/>
        <rFont val="Calibri"/>
        <family val="2"/>
        <scheme val="minor"/>
      </rPr>
      <t>NFSROBOT: Z-axis</t>
    </r>
  </si>
  <si>
    <t>Distance in mm</t>
  </si>
  <si>
    <t>equals</t>
  </si>
  <si>
    <t>Rot-4-1mm</t>
  </si>
  <si>
    <t>Y-Axis</t>
  </si>
  <si>
    <t>$101</t>
  </si>
  <si>
    <r>
      <t xml:space="preserve">Number of Y steps to move 1mm  </t>
    </r>
    <r>
      <rPr>
        <b/>
        <sz val="11"/>
        <color theme="1"/>
        <rFont val="Calibri"/>
        <family val="2"/>
        <scheme val="minor"/>
      </rPr>
      <t>NFSROBOT: R-axis</t>
    </r>
  </si>
  <si>
    <t>Z-Axis</t>
  </si>
  <si>
    <t>$102</t>
  </si>
  <si>
    <r>
      <t xml:space="preserve">Number of Z steps to move 1mm  </t>
    </r>
    <r>
      <rPr>
        <b/>
        <sz val="11"/>
        <color theme="1"/>
        <rFont val="Calibri"/>
        <family val="2"/>
        <scheme val="minor"/>
      </rPr>
      <t>NFSROBOT: PHI-axis</t>
    </r>
  </si>
  <si>
    <t>Distance in degrees</t>
  </si>
  <si>
    <t>Rot-4-1degree</t>
  </si>
  <si>
    <t>$110</t>
  </si>
  <si>
    <r>
      <t xml:space="preserve">X Max rate, mm/min   </t>
    </r>
    <r>
      <rPr>
        <b/>
        <sz val="11"/>
        <color theme="1"/>
        <rFont val="Calibri"/>
        <family val="2"/>
        <scheme val="minor"/>
      </rPr>
      <t>NFSROBOT: Z-axis</t>
    </r>
  </si>
  <si>
    <t>mm/sec</t>
  </si>
  <si>
    <t>(micro)steps/min</t>
  </si>
  <si>
    <t>RPM</t>
  </si>
  <si>
    <t>$111</t>
  </si>
  <si>
    <r>
      <t xml:space="preserve">Y Max rate, mm/min   </t>
    </r>
    <r>
      <rPr>
        <b/>
        <sz val="11"/>
        <color theme="1"/>
        <rFont val="Calibri"/>
        <family val="2"/>
        <scheme val="minor"/>
      </rPr>
      <t>NFSROBOT: R-axis</t>
    </r>
  </si>
  <si>
    <t>$112</t>
  </si>
  <si>
    <r>
      <t xml:space="preserve">Z Max rate, mm/min   </t>
    </r>
    <r>
      <rPr>
        <b/>
        <sz val="11"/>
        <color theme="1"/>
        <rFont val="Calibri"/>
        <family val="2"/>
        <scheme val="minor"/>
      </rPr>
      <t>NFSROBOT: PHI-axis</t>
    </r>
  </si>
  <si>
    <t>deg/sec</t>
  </si>
  <si>
    <t>$120</t>
  </si>
  <si>
    <r>
      <t xml:space="preserve">X Acceleration, mm/sec^2     </t>
    </r>
    <r>
      <rPr>
        <b/>
        <sz val="11"/>
        <color theme="1"/>
        <rFont val="Calibri"/>
        <family val="2"/>
        <scheme val="minor"/>
      </rPr>
      <t>NFSROBOT: Z-axis</t>
    </r>
  </si>
  <si>
    <t>$121</t>
  </si>
  <si>
    <r>
      <t xml:space="preserve">Y Acceleration, mm/sec^2     </t>
    </r>
    <r>
      <rPr>
        <b/>
        <sz val="11"/>
        <color theme="1"/>
        <rFont val="Calibri"/>
        <family val="2"/>
        <scheme val="minor"/>
      </rPr>
      <t>NFSROBOT: R-axis</t>
    </r>
  </si>
  <si>
    <t>$122</t>
  </si>
  <si>
    <r>
      <t xml:space="preserve">Z Acceleration, mm/sec^2     </t>
    </r>
    <r>
      <rPr>
        <b/>
        <sz val="11"/>
        <color theme="1"/>
        <rFont val="Calibri"/>
        <family val="2"/>
        <scheme val="minor"/>
      </rPr>
      <t>NFSROBOT: PHI-axis</t>
    </r>
  </si>
  <si>
    <t>value is ok</t>
  </si>
  <si>
    <t>$130</t>
  </si>
  <si>
    <r>
      <t xml:space="preserve">X Max travel, mm Only for Homing and Soft Limits.  </t>
    </r>
    <r>
      <rPr>
        <b/>
        <sz val="11"/>
        <color theme="1"/>
        <rFont val="Calibri"/>
        <family val="2"/>
        <scheme val="minor"/>
      </rPr>
      <t>NFSROBOT: Z-axis</t>
    </r>
  </si>
  <si>
    <t>approximate</t>
  </si>
  <si>
    <t>$131</t>
  </si>
  <si>
    <r>
      <t xml:space="preserve">Y Max travel, mm Only for Homing and Soft Limits.  </t>
    </r>
    <r>
      <rPr>
        <b/>
        <sz val="11"/>
        <color theme="1"/>
        <rFont val="Calibri"/>
        <family val="2"/>
        <scheme val="minor"/>
      </rPr>
      <t>NFSROBOT: R-axis</t>
    </r>
  </si>
  <si>
    <t>$132</t>
  </si>
  <si>
    <r>
      <t xml:space="preserve">Z Max travel, mm Only for Homing and Soft Limits.  </t>
    </r>
    <r>
      <rPr>
        <b/>
        <sz val="11"/>
        <color theme="1"/>
        <rFont val="Calibri"/>
        <family val="2"/>
        <scheme val="minor"/>
      </rPr>
      <t>NFSROBOT: PHI-axis</t>
    </r>
  </si>
  <si>
    <t xml:space="preserve"> from 0 to 360</t>
  </si>
  <si>
    <t>$140</t>
  </si>
  <si>
    <t>X-axis motor current (mA)</t>
  </si>
  <si>
    <t>$141</t>
  </si>
  <si>
    <t>Y-axis motor current (mA)</t>
  </si>
  <si>
    <t>$142</t>
  </si>
  <si>
    <t>Z-axis motor current (mA)</t>
  </si>
  <si>
    <t>$150</t>
  </si>
  <si>
    <t>X-axis microsteps: (1, etc)</t>
  </si>
  <si>
    <t>$151</t>
  </si>
  <si>
    <t>Y-axis microsteps: (1, etc)</t>
  </si>
  <si>
    <t>$152</t>
  </si>
  <si>
    <t>Z-axis microsteps: (1, etc)</t>
  </si>
  <si>
    <t>$200</t>
  </si>
  <si>
    <t>X-axis Stallguard fast treshold</t>
  </si>
  <si>
    <t>$201</t>
  </si>
  <si>
    <t>Y-axis Stallguard fast treshold</t>
  </si>
  <si>
    <t>$202</t>
  </si>
  <si>
    <t>Z-axis Stallguard fast treshold</t>
  </si>
  <si>
    <t>$210</t>
  </si>
  <si>
    <t>X-Axis Hold current (%)</t>
  </si>
  <si>
    <t>$211</t>
  </si>
  <si>
    <t>Y-Axis Hold current (%)</t>
  </si>
  <si>
    <t>$212</t>
  </si>
  <si>
    <t>Z-Axis Hold current (%)</t>
  </si>
  <si>
    <t>$220</t>
  </si>
  <si>
    <t>X-axis Stallguard slow treshold</t>
  </si>
  <si>
    <t>$221</t>
  </si>
  <si>
    <t>Y-axis Stallguard slow treshold</t>
  </si>
  <si>
    <t>$222</t>
  </si>
  <si>
    <t>Z-axis Stallguard slow treshold</t>
  </si>
  <si>
    <t>Stepper Driver</t>
  </si>
  <si>
    <t>$338</t>
  </si>
  <si>
    <t>Trinamic driver enable f.i. : X (Parameter is a axismask where value is sum of X=1, Y=2, Z=4 etc.)</t>
  </si>
  <si>
    <t>$339</t>
  </si>
  <si>
    <t>Sensorless homing</t>
  </si>
  <si>
    <t>$651</t>
  </si>
  <si>
    <t>Chopper toff  , Range is 1 to 15</t>
  </si>
  <si>
    <t>$652</t>
  </si>
  <si>
    <t>Chopper tbl ,  Range is 0 to 3.</t>
  </si>
  <si>
    <t>Chopper mode (chm)  , 0 - Spreadcycle, 1 - Constant toff.</t>
  </si>
  <si>
    <t>$654</t>
  </si>
  <si>
    <t>Chopper hstrt  ,   Range is 1 to 8</t>
  </si>
  <si>
    <t>$655</t>
  </si>
  <si>
    <t>Chopper hend  ,  Range is -3 to 12.</t>
  </si>
  <si>
    <t>Chopper hdec  (hysteresis interval decrement)  Range is 0 to 3.</t>
  </si>
  <si>
    <t>???</t>
  </si>
  <si>
    <t>$657</t>
  </si>
  <si>
    <t>Chopper hdec  (Chopper random time off enable  Range is 0 or 1</t>
  </si>
  <si>
    <t>$659</t>
  </si>
  <si>
    <t>Coolstep semin  ,  0 - CoolStep off, 1 - 15 threshold range</t>
  </si>
  <si>
    <t>$660</t>
  </si>
  <si>
    <t>Coolstep seup (Coolstep current increment) Range is 0 to 3</t>
  </si>
  <si>
    <t>$661</t>
  </si>
  <si>
    <t>Coolstep semax  (upper coolstep treshold) Range is 0 to 15</t>
  </si>
  <si>
    <t>$662</t>
  </si>
  <si>
    <t>Coolstep sedn (Coolstep sample count) Range is 0 to 3</t>
  </si>
  <si>
    <t>$663</t>
  </si>
  <si>
    <t>Coolstep seimin (Coolstep current factor) 0 - 1/2 , 1 - 3/4</t>
  </si>
  <si>
    <t>$680</t>
  </si>
  <si>
    <t>Stepper enable delay (msec)</t>
  </si>
  <si>
    <t>Trinamic</t>
  </si>
  <si>
    <t>M569</t>
  </si>
  <si>
    <t>Stealthchop or Spreadcycle (S1 or S0 , optional XYZ)</t>
  </si>
  <si>
    <t>KEY-IN</t>
  </si>
  <si>
    <t>What</t>
  </si>
  <si>
    <t>$$</t>
  </si>
  <si>
    <t>Display Grbl Settings.</t>
  </si>
  <si>
    <t>$x=val</t>
  </si>
  <si>
    <t>Change Grbl Setting x to val.</t>
  </si>
  <si>
    <t>$#</t>
  </si>
  <si>
    <t>View GCode Parameters.</t>
  </si>
  <si>
    <t>$G</t>
  </si>
  <si>
    <t>View GCode parser state.</t>
  </si>
  <si>
    <t>$C</t>
  </si>
  <si>
    <t>Toggle Check Gcode Mode</t>
  </si>
  <si>
    <t>$H</t>
  </si>
  <si>
    <t>Run Homing Cycle</t>
  </si>
  <si>
    <t>$J=gcode</t>
  </si>
  <si>
    <t>Run Jogging Motion.</t>
  </si>
  <si>
    <t>$X</t>
  </si>
  <si>
    <t>Kill Alarm Lock state.</t>
  </si>
  <si>
    <t>$I</t>
  </si>
  <si>
    <t>View Build Info</t>
  </si>
  <si>
    <t>$N</t>
  </si>
  <si>
    <t>View saved start up code</t>
  </si>
  <si>
    <t>$Nx=line</t>
  </si>
  <si>
    <t>Save Start-up GCode line (x=0 or 1) There are executed on a reset.</t>
  </si>
  <si>
    <t>$RST=$</t>
  </si>
  <si>
    <t>Restores the Grbl settings to defaults.</t>
  </si>
  <si>
    <t>$RST=#</t>
  </si>
  <si>
    <t>Erases G54-G59 WCS offsets and G28/30 positions stored in EEPROM.</t>
  </si>
  <si>
    <t>$RST=*</t>
  </si>
  <si>
    <t>Clear and Load all data from EEPROM.</t>
  </si>
  <si>
    <t>$SLP</t>
  </si>
  <si>
    <t>Enable Sleep mode.</t>
  </si>
  <si>
    <t>Ctrl-x</t>
  </si>
  <si>
    <t>Soft Reset</t>
  </si>
  <si>
    <t>?</t>
  </si>
  <si>
    <t>Status report query.</t>
  </si>
  <si>
    <t>~</t>
  </si>
  <si>
    <t>Cycle Start/Resume from Feed Hold, Door or Program pause.</t>
  </si>
  <si>
    <t>!</t>
  </si>
  <si>
    <t>Feed Hold – Stop all motion.</t>
  </si>
  <si>
    <t>approximate, also impacted by motor of Z-axis hitting the tripod legs.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</si>
</sst>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8" x14ac:knownFonts="1">
    <font>
      <sz val="11"/>
      <color theme="1"/>
      <name val="Calibri"/>
      <family val="2"/>
      <scheme val="minor"/>
    </font>
    <font>
      <b/>
      <sz val="11"/>
      <color theme="1"/>
      <name val="Calibri"/>
      <family val="2"/>
      <scheme val="minor"/>
    </font>
    <font>
      <strike/>
      <sz val="11"/>
      <color theme="1"/>
      <name val="Calibri"/>
      <family val="2"/>
      <scheme val="minor"/>
    </font>
    <font>
      <sz val="11"/>
      <color rgb="FF1B1E23"/>
      <name val="Segoe UI"/>
      <family val="2"/>
    </font>
    <font>
      <b/>
      <sz val="9"/>
      <color indexed="81"/>
      <name val="Tahoma"/>
      <charset val="1"/>
    </font>
    <font>
      <sz val="9"/>
      <color indexed="81"/>
      <name val="Tahoma"/>
      <charset val="1"/>
    </font>
    <font>
      <b/>
      <sz val="9"/>
      <color indexed="81"/>
      <name val="Tahoma"/>
      <family val="2"/>
    </font>
    <font>
      <sz val="9"/>
      <color indexed="81"/>
      <name val="Tahoma"/>
      <family val="2"/>
    </font>
  </fonts>
  <fills count="3">
    <fill>
      <patternFill patternType="none"/>
    </fill>
    <fill>
      <patternFill patternType="gray125"/>
    </fill>
    <fill>
      <patternFill patternType="solid">
        <fgColor theme="0" tint="-0.49998474074526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5">
    <xf numFmtId="0" fontId="0" fillId="0" borderId="0" xfId="0"/>
    <xf numFmtId="0" fontId="1" fillId="0" borderId="1" xfId="0" applyFont="1" applyBorder="1" applyAlignment="1">
      <alignment horizontal="center" vertical="center"/>
    </xf>
    <xf numFmtId="0" fontId="1" fillId="0" borderId="1" xfId="0" applyFont="1" applyBorder="1" applyAlignment="1">
      <alignment vertical="center" wrapText="1"/>
    </xf>
    <xf numFmtId="0" fontId="2" fillId="0" borderId="1" xfId="0" applyFont="1" applyBorder="1" applyAlignment="1">
      <alignment horizontal="center" vertical="center"/>
    </xf>
    <xf numFmtId="0" fontId="2" fillId="0" borderId="1" xfId="0" applyFont="1" applyBorder="1" applyAlignment="1">
      <alignment vertical="center" wrapText="1"/>
    </xf>
    <xf numFmtId="0" fontId="0" fillId="0" borderId="1" xfId="0" applyBorder="1" applyAlignment="1">
      <alignment horizontal="center" vertical="center"/>
    </xf>
    <xf numFmtId="0" fontId="0" fillId="0" borderId="1" xfId="0" applyBorder="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1" fillId="0" borderId="2" xfId="0" applyFont="1" applyBorder="1"/>
    <xf numFmtId="0" fontId="1" fillId="0" borderId="3" xfId="0" applyFont="1" applyBorder="1" applyAlignment="1">
      <alignment horizontal="center" vertical="center"/>
    </xf>
    <xf numFmtId="0" fontId="1" fillId="0" borderId="4" xfId="0" applyFont="1" applyBorder="1" applyAlignment="1">
      <alignment vertical="center" wrapText="1"/>
    </xf>
    <xf numFmtId="0" fontId="0" fillId="0" borderId="2" xfId="0" applyBorder="1"/>
    <xf numFmtId="0" fontId="1" fillId="0" borderId="4" xfId="0" applyFont="1" applyBorder="1"/>
    <xf numFmtId="0" fontId="0" fillId="0" borderId="5" xfId="0" applyBorder="1"/>
    <xf numFmtId="0" fontId="3" fillId="0" borderId="6" xfId="0" applyFont="1" applyBorder="1" applyAlignment="1">
      <alignment wrapText="1"/>
    </xf>
    <xf numFmtId="0" fontId="0" fillId="0" borderId="5" xfId="0" applyBorder="1" applyAlignment="1">
      <alignment wrapText="1"/>
    </xf>
    <xf numFmtId="0" fontId="0" fillId="0" borderId="6" xfId="0" applyBorder="1"/>
    <xf numFmtId="0" fontId="0" fillId="0" borderId="1" xfId="0" applyBorder="1"/>
    <xf numFmtId="0" fontId="0" fillId="0" borderId="7" xfId="0" applyBorder="1" applyAlignment="1">
      <alignment wrapText="1"/>
    </xf>
    <xf numFmtId="0" fontId="0" fillId="0" borderId="1" xfId="0" applyBorder="1" applyAlignment="1">
      <alignment wrapText="1"/>
    </xf>
    <xf numFmtId="0" fontId="0" fillId="0" borderId="7" xfId="0" applyBorder="1"/>
    <xf numFmtId="0" fontId="0" fillId="0" borderId="8" xfId="0" applyBorder="1"/>
    <xf numFmtId="0" fontId="2" fillId="0" borderId="1" xfId="0" applyFont="1" applyBorder="1"/>
    <xf numFmtId="0" fontId="2" fillId="0" borderId="7" xfId="0" applyFont="1" applyBorder="1" applyAlignment="1">
      <alignment wrapText="1"/>
    </xf>
    <xf numFmtId="0" fontId="2" fillId="0" borderId="1" xfId="0" applyFont="1" applyBorder="1" applyAlignment="1">
      <alignment wrapText="1"/>
    </xf>
    <xf numFmtId="0" fontId="2" fillId="0" borderId="0" xfId="0" applyFont="1"/>
    <xf numFmtId="0" fontId="2" fillId="0" borderId="7" xfId="0" applyFont="1" applyBorder="1"/>
    <xf numFmtId="3" fontId="0" fillId="0" borderId="7" xfId="0" applyNumberFormat="1" applyBorder="1"/>
    <xf numFmtId="0" fontId="2" fillId="2" borderId="1" xfId="0" applyFont="1" applyFill="1" applyBorder="1"/>
    <xf numFmtId="0" fontId="0" fillId="2" borderId="1" xfId="0" applyFill="1" applyBorder="1"/>
    <xf numFmtId="0" fontId="0" fillId="0" borderId="0" xfId="0" applyAlignment="1">
      <alignment horizontal="right"/>
    </xf>
    <xf numFmtId="0" fontId="0" fillId="0" borderId="1" xfId="0" applyBorder="1" applyAlignment="1">
      <alignment horizontal="left" wrapText="1"/>
    </xf>
    <xf numFmtId="164" fontId="0" fillId="0" borderId="1" xfId="0" applyNumberFormat="1" applyBorder="1" applyAlignment="1">
      <alignment horizontal="left" wrapText="1"/>
    </xf>
    <xf numFmtId="0" fontId="0" fillId="0" borderId="0" xfId="0" applyAlignment="1">
      <alignment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487837</xdr:colOff>
      <xdr:row>23</xdr:row>
      <xdr:rowOff>129116</xdr:rowOff>
    </xdr:from>
    <xdr:to>
      <xdr:col>14</xdr:col>
      <xdr:colOff>533401</xdr:colOff>
      <xdr:row>31</xdr:row>
      <xdr:rowOff>114298</xdr:rowOff>
    </xdr:to>
    <xdr:grpSp>
      <xdr:nvGrpSpPr>
        <xdr:cNvPr id="2" name="Groep 1">
          <a:extLst>
            <a:ext uri="{FF2B5EF4-FFF2-40B4-BE49-F238E27FC236}">
              <a16:creationId xmlns:a16="http://schemas.microsoft.com/office/drawing/2014/main" id="{9032D976-4BDA-4AC6-B4FA-583219BD34BD}"/>
            </a:ext>
          </a:extLst>
        </xdr:cNvPr>
        <xdr:cNvGrpSpPr/>
      </xdr:nvGrpSpPr>
      <xdr:grpSpPr>
        <a:xfrm>
          <a:off x="7282337" y="8257116"/>
          <a:ext cx="5506564" cy="1525057"/>
          <a:chOff x="6665120" y="7179594"/>
          <a:chExt cx="7352496" cy="796689"/>
        </a:xfrm>
      </xdr:grpSpPr>
      <xdr:pic>
        <xdr:nvPicPr>
          <xdr:cNvPr id="3" name="Afbeelding 2">
            <a:extLst>
              <a:ext uri="{FF2B5EF4-FFF2-40B4-BE49-F238E27FC236}">
                <a16:creationId xmlns:a16="http://schemas.microsoft.com/office/drawing/2014/main" id="{9C959BF3-A509-FC12-8110-805F9AF75388}"/>
              </a:ext>
            </a:extLst>
          </xdr:cNvPr>
          <xdr:cNvPicPr>
            <a:picLocks noChangeAspect="1"/>
          </xdr:cNvPicPr>
        </xdr:nvPicPr>
        <xdr:blipFill>
          <a:blip xmlns:r="http://schemas.openxmlformats.org/officeDocument/2006/relationships" r:embed="rId1"/>
          <a:stretch>
            <a:fillRect/>
          </a:stretch>
        </xdr:blipFill>
        <xdr:spPr>
          <a:xfrm>
            <a:off x="6712854" y="7341707"/>
            <a:ext cx="7304762" cy="634576"/>
          </a:xfrm>
          <a:prstGeom prst="rect">
            <a:avLst/>
          </a:prstGeom>
        </xdr:spPr>
      </xdr:pic>
      <xdr:sp macro="" textlink="">
        <xdr:nvSpPr>
          <xdr:cNvPr id="4" name="Tekstvak 3">
            <a:extLst>
              <a:ext uri="{FF2B5EF4-FFF2-40B4-BE49-F238E27FC236}">
                <a16:creationId xmlns:a16="http://schemas.microsoft.com/office/drawing/2014/main" id="{FF88A386-A1F0-63C2-9A5A-B3EE75B83866}"/>
              </a:ext>
            </a:extLst>
          </xdr:cNvPr>
          <xdr:cNvSpPr txBox="1"/>
        </xdr:nvSpPr>
        <xdr:spPr>
          <a:xfrm>
            <a:off x="6665120" y="7179594"/>
            <a:ext cx="2839321" cy="117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nl-NL" sz="1100" b="1"/>
              <a:t>The XYZ mask</a:t>
            </a:r>
          </a:p>
        </xdr:txBody>
      </xdr:sp>
    </xdr:grpSp>
    <xdr:clientData/>
  </xdr:twoCellAnchor>
  <xdr:oneCellAnchor>
    <xdr:from>
      <xdr:col>9</xdr:col>
      <xdr:colOff>211666</xdr:colOff>
      <xdr:row>90</xdr:row>
      <xdr:rowOff>63500</xdr:rowOff>
    </xdr:from>
    <xdr:ext cx="4476751" cy="2847959"/>
    <xdr:sp macro="" textlink="">
      <xdr:nvSpPr>
        <xdr:cNvPr id="5" name="Tekstvak 4">
          <a:extLst>
            <a:ext uri="{FF2B5EF4-FFF2-40B4-BE49-F238E27FC236}">
              <a16:creationId xmlns:a16="http://schemas.microsoft.com/office/drawing/2014/main" id="{8C558961-545A-4511-A0C2-41C0FE588EB7}"/>
            </a:ext>
          </a:extLst>
        </xdr:cNvPr>
        <xdr:cNvSpPr txBox="1"/>
      </xdr:nvSpPr>
      <xdr:spPr>
        <a:xfrm>
          <a:off x="8822266" y="21180425"/>
          <a:ext cx="4476751" cy="2847959"/>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l-NL" sz="1100">
              <a:solidFill>
                <a:sysClr val="windowText" lastClr="000000"/>
              </a:solidFill>
            </a:rPr>
            <a:t>Impact on max speed rate:</a:t>
          </a:r>
        </a:p>
        <a:p>
          <a:r>
            <a:rPr lang="nl-NL" sz="1100">
              <a:solidFill>
                <a:sysClr val="windowText" lastClr="000000"/>
              </a:solidFill>
            </a:rPr>
            <a:t>-Cable resistance (0,75mm2 per ader 0,025Ohm/meter, dus per</a:t>
          </a:r>
          <a:r>
            <a:rPr lang="nl-NL" sz="1100" baseline="0">
              <a:solidFill>
                <a:sysClr val="windowText" lastClr="000000"/>
              </a:solidFill>
            </a:rPr>
            <a:t> spoel 0,05Ohm/m</a:t>
          </a:r>
          <a:r>
            <a:rPr lang="nl-NL" sz="1100">
              <a:solidFill>
                <a:sysClr val="windowText" lastClr="000000"/>
              </a:solidFill>
            </a:rPr>
            <a:t>) Bijv</a:t>
          </a:r>
          <a:r>
            <a:rPr lang="nl-NL" sz="1100" baseline="0">
              <a:solidFill>
                <a:sysClr val="windowText" lastClr="000000"/>
              </a:solidFill>
            </a:rPr>
            <a:t> de </a:t>
          </a:r>
          <a:r>
            <a:rPr lang="nl-NL" sz="1100">
              <a:solidFill>
                <a:sysClr val="windowText" lastClr="000000"/>
              </a:solidFill>
            </a:rPr>
            <a:t>Z motor heeft ~ 4m kabel dus 0,2Ohm bij de ~1.7 ohm</a:t>
          </a:r>
          <a:r>
            <a:rPr lang="nl-NL" sz="1100" baseline="0">
              <a:solidFill>
                <a:sysClr val="windowText" lastClr="000000"/>
              </a:solidFill>
            </a:rPr>
            <a:t> v/d/ spoel, een issue</a:t>
          </a:r>
          <a:r>
            <a:rPr lang="nl-NL" sz="1100">
              <a:solidFill>
                <a:sysClr val="windowText" lastClr="000000"/>
              </a:solidFill>
            </a:rPr>
            <a:t>? </a:t>
          </a:r>
        </a:p>
        <a:p>
          <a:endParaRPr lang="nl-NL" sz="1100">
            <a:solidFill>
              <a:sysClr val="windowText" lastClr="000000"/>
            </a:solidFill>
          </a:endParaRPr>
        </a:p>
        <a:p>
          <a:r>
            <a:rPr lang="nl-NL" sz="1100">
              <a:solidFill>
                <a:sysClr val="windowText" lastClr="000000"/>
              </a:solidFill>
            </a:rPr>
            <a:t>-RPM differences, hogere rpm meer voltage,</a:t>
          </a:r>
          <a:r>
            <a:rPr lang="nl-NL" sz="1100" baseline="0">
              <a:solidFill>
                <a:sysClr val="windowText" lastClr="000000"/>
              </a:solidFill>
            </a:rPr>
            <a:t> is nu 24V</a:t>
          </a:r>
          <a:r>
            <a:rPr lang="nl-NL" sz="1100">
              <a:solidFill>
                <a:sysClr val="windowText" lastClr="000000"/>
              </a:solidFill>
            </a:rPr>
            <a:t>?</a:t>
          </a:r>
        </a:p>
        <a:p>
          <a:endParaRPr lang="nl-NL" sz="1100">
            <a:solidFill>
              <a:sysClr val="windowText" lastClr="000000"/>
            </a:solidFill>
          </a:endParaRPr>
        </a:p>
        <a:p>
          <a:r>
            <a:rPr lang="nl-NL" sz="1100">
              <a:solidFill>
                <a:sysClr val="windowText" lastClr="000000"/>
              </a:solidFill>
            </a:rPr>
            <a:t>-Torque differences?</a:t>
          </a:r>
        </a:p>
        <a:p>
          <a:endParaRPr lang="nl-NL" sz="1100">
            <a:solidFill>
              <a:sysClr val="windowText" lastClr="000000"/>
            </a:solidFill>
          </a:endParaRPr>
        </a:p>
        <a:p>
          <a:r>
            <a:rPr lang="nl-NL" sz="1100">
              <a:solidFill>
                <a:sysClr val="windowText" lastClr="000000"/>
              </a:solidFill>
            </a:rPr>
            <a:t>-Microstepping?</a:t>
          </a:r>
        </a:p>
        <a:p>
          <a:endParaRPr lang="nl-NL" sz="1100">
            <a:solidFill>
              <a:sysClr val="windowText" lastClr="000000"/>
            </a:solidFill>
          </a:endParaRPr>
        </a:p>
        <a:p>
          <a:r>
            <a:rPr lang="nl-NL" sz="1100">
              <a:solidFill>
                <a:sysClr val="windowText" lastClr="000000"/>
              </a:solidFill>
            </a:rPr>
            <a:t>-UART or SPI settings of driver?</a:t>
          </a:r>
        </a:p>
        <a:p>
          <a:endParaRPr lang="nl-NL" sz="1100">
            <a:solidFill>
              <a:sysClr val="windowText" lastClr="000000"/>
            </a:solidFill>
          </a:endParaRPr>
        </a:p>
        <a:p>
          <a:endParaRPr lang="nl-NL" sz="1100">
            <a:solidFill>
              <a:sysClr val="windowText" lastClr="000000"/>
            </a:solidFill>
          </a:endParaRPr>
        </a:p>
        <a:p>
          <a:endParaRPr lang="nl-NL" sz="1100">
            <a:solidFill>
              <a:sysClr val="windowText" lastClr="000000"/>
            </a:solidFill>
          </a:endParaRPr>
        </a:p>
        <a:p>
          <a:endParaRPr lang="nl-NL" sz="1100">
            <a:solidFill>
              <a:sysClr val="windowText" lastClr="000000"/>
            </a:solidFill>
          </a:endParaRPr>
        </a:p>
      </xdr:txBody>
    </xdr:sp>
    <xdr:clientData/>
  </xdr:oneCellAnchor>
  <xdr:twoCellAnchor editAs="oneCell">
    <xdr:from>
      <xdr:col>7</xdr:col>
      <xdr:colOff>175683</xdr:colOff>
      <xdr:row>105</xdr:row>
      <xdr:rowOff>177800</xdr:rowOff>
    </xdr:from>
    <xdr:to>
      <xdr:col>14</xdr:col>
      <xdr:colOff>961335</xdr:colOff>
      <xdr:row>141</xdr:row>
      <xdr:rowOff>62874</xdr:rowOff>
    </xdr:to>
    <xdr:pic>
      <xdr:nvPicPr>
        <xdr:cNvPr id="6" name="Afbeelding 5" descr="GBRLHAL core gcode.h snippet&#10;">
          <a:extLst>
            <a:ext uri="{FF2B5EF4-FFF2-40B4-BE49-F238E27FC236}">
              <a16:creationId xmlns:a16="http://schemas.microsoft.com/office/drawing/2014/main" id="{76B33E32-FBA9-4B7E-92F8-AE42E6C535B1}"/>
            </a:ext>
          </a:extLst>
        </xdr:cNvPr>
        <xdr:cNvPicPr>
          <a:picLocks noChangeAspect="1"/>
        </xdr:cNvPicPr>
      </xdr:nvPicPr>
      <xdr:blipFill>
        <a:blip xmlns:r="http://schemas.openxmlformats.org/officeDocument/2006/relationships" r:embed="rId2"/>
        <a:stretch>
          <a:fillRect/>
        </a:stretch>
      </xdr:blipFill>
      <xdr:spPr>
        <a:xfrm>
          <a:off x="7567083" y="24342725"/>
          <a:ext cx="5681502" cy="5015874"/>
        </a:xfrm>
        <a:prstGeom prst="rect">
          <a:avLst/>
        </a:prstGeom>
      </xdr:spPr>
    </xdr:pic>
    <xdr:clientData/>
  </xdr:twoCellAnchor>
  <xdr:twoCellAnchor editAs="oneCell">
    <xdr:from>
      <xdr:col>7</xdr:col>
      <xdr:colOff>0</xdr:colOff>
      <xdr:row>2</xdr:row>
      <xdr:rowOff>0</xdr:rowOff>
    </xdr:from>
    <xdr:to>
      <xdr:col>23</xdr:col>
      <xdr:colOff>163170</xdr:colOff>
      <xdr:row>18</xdr:row>
      <xdr:rowOff>89988</xdr:rowOff>
    </xdr:to>
    <xdr:pic>
      <xdr:nvPicPr>
        <xdr:cNvPr id="7" name="Afbeelding 6">
          <a:extLst>
            <a:ext uri="{FF2B5EF4-FFF2-40B4-BE49-F238E27FC236}">
              <a16:creationId xmlns:a16="http://schemas.microsoft.com/office/drawing/2014/main" id="{1EA08D49-D1AF-4F47-AE12-993951960738}"/>
            </a:ext>
          </a:extLst>
        </xdr:cNvPr>
        <xdr:cNvPicPr>
          <a:picLocks noChangeAspect="1"/>
        </xdr:cNvPicPr>
      </xdr:nvPicPr>
      <xdr:blipFill>
        <a:blip xmlns:r="http://schemas.openxmlformats.org/officeDocument/2006/relationships" r:embed="rId3"/>
        <a:stretch>
          <a:fillRect/>
        </a:stretch>
      </xdr:blipFill>
      <xdr:spPr>
        <a:xfrm>
          <a:off x="7391400" y="571500"/>
          <a:ext cx="10050120" cy="6690813"/>
        </a:xfrm>
        <a:prstGeom prst="rect">
          <a:avLst/>
        </a:prstGeom>
        <a:solidFill>
          <a:schemeClr val="bg1"/>
        </a:solidFill>
        <a:ln>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316EB-ED61-4156-A6EE-91D887534117}">
  <sheetPr filterMode="1">
    <pageSetUpPr fitToPage="1"/>
  </sheetPr>
  <dimension ref="A1:O157"/>
  <sheetViews>
    <sheetView tabSelected="1" topLeftCell="A23" zoomScale="60" zoomScaleNormal="60" workbookViewId="0">
      <selection activeCell="F86" sqref="F86"/>
    </sheetView>
  </sheetViews>
  <sheetFormatPr defaultRowHeight="15" x14ac:dyDescent="0.25"/>
  <cols>
    <col min="1" max="1" width="13" customWidth="1"/>
    <col min="2" max="2" width="9.140625" style="8"/>
    <col min="3" max="3" width="66.5703125" style="7" customWidth="1"/>
    <col min="4" max="4" width="2.85546875" customWidth="1"/>
    <col min="5" max="5" width="10.7109375" hidden="1" customWidth="1"/>
    <col min="6" max="6" width="10.140625" bestFit="1" customWidth="1"/>
    <col min="12" max="12" width="18.5703125" bestFit="1" customWidth="1"/>
    <col min="15" max="15" width="16.28515625" customWidth="1"/>
    <col min="16" max="16" width="1.85546875" customWidth="1"/>
    <col min="17" max="17" width="5.42578125" customWidth="1"/>
    <col min="18" max="18" width="5.5703125" customWidth="1"/>
    <col min="19" max="21" width="9.140625" customWidth="1"/>
  </cols>
  <sheetData>
    <row r="1" spans="2:3" x14ac:dyDescent="0.25">
      <c r="B1" s="1" t="s">
        <v>0</v>
      </c>
      <c r="C1" s="2" t="s">
        <v>1</v>
      </c>
    </row>
    <row r="2" spans="2:3" ht="30" x14ac:dyDescent="0.25">
      <c r="B2" s="3" t="s">
        <v>2</v>
      </c>
      <c r="C2" s="4" t="s">
        <v>3</v>
      </c>
    </row>
    <row r="3" spans="2:3" ht="45" x14ac:dyDescent="0.25">
      <c r="B3" s="5" t="s">
        <v>4</v>
      </c>
      <c r="C3" s="6" t="s">
        <v>5</v>
      </c>
    </row>
    <row r="4" spans="2:3" x14ac:dyDescent="0.25">
      <c r="B4" s="3" t="s">
        <v>6</v>
      </c>
      <c r="C4" s="4" t="s">
        <v>7</v>
      </c>
    </row>
    <row r="5" spans="2:3" ht="30" x14ac:dyDescent="0.25">
      <c r="B5" s="3" t="s">
        <v>8</v>
      </c>
      <c r="C5" s="4" t="s">
        <v>9</v>
      </c>
    </row>
    <row r="6" spans="2:3" ht="30" x14ac:dyDescent="0.25">
      <c r="B6" s="3" t="s">
        <v>10</v>
      </c>
      <c r="C6" s="4" t="s">
        <v>11</v>
      </c>
    </row>
    <row r="7" spans="2:3" x14ac:dyDescent="0.25">
      <c r="B7" s="3" t="s">
        <v>12</v>
      </c>
      <c r="C7" s="4" t="s">
        <v>13</v>
      </c>
    </row>
    <row r="8" spans="2:3" ht="30" x14ac:dyDescent="0.25">
      <c r="B8" s="3" t="s">
        <v>14</v>
      </c>
      <c r="C8" s="4" t="s">
        <v>15</v>
      </c>
    </row>
    <row r="9" spans="2:3" ht="30" x14ac:dyDescent="0.25">
      <c r="B9" s="5" t="s">
        <v>16</v>
      </c>
      <c r="C9" s="6" t="s">
        <v>17</v>
      </c>
    </row>
    <row r="10" spans="2:3" ht="45" x14ac:dyDescent="0.25">
      <c r="B10" s="5" t="s">
        <v>18</v>
      </c>
      <c r="C10" s="7" t="s">
        <v>19</v>
      </c>
    </row>
    <row r="11" spans="2:3" ht="30" x14ac:dyDescent="0.25">
      <c r="B11" s="5" t="s">
        <v>20</v>
      </c>
      <c r="C11" s="6" t="s">
        <v>21</v>
      </c>
    </row>
    <row r="12" spans="2:3" ht="60" x14ac:dyDescent="0.25">
      <c r="B12" s="5" t="s">
        <v>22</v>
      </c>
      <c r="C12" s="6" t="s">
        <v>23</v>
      </c>
    </row>
    <row r="13" spans="2:3" ht="45" x14ac:dyDescent="0.25">
      <c r="B13" s="5" t="s">
        <v>24</v>
      </c>
      <c r="C13" s="6" t="s">
        <v>25</v>
      </c>
    </row>
    <row r="14" spans="2:3" ht="39.75" customHeight="1" x14ac:dyDescent="0.25">
      <c r="B14" s="5" t="s">
        <v>26</v>
      </c>
      <c r="C14" s="6" t="s">
        <v>27</v>
      </c>
    </row>
    <row r="15" spans="2:3" ht="45" x14ac:dyDescent="0.25">
      <c r="B15" s="5" t="s">
        <v>28</v>
      </c>
      <c r="C15" s="6" t="s">
        <v>29</v>
      </c>
    </row>
    <row r="16" spans="2:3" ht="30" x14ac:dyDescent="0.25">
      <c r="B16" s="5" t="s">
        <v>30</v>
      </c>
      <c r="C16" s="6" t="s">
        <v>31</v>
      </c>
    </row>
    <row r="17" spans="1:6" x14ac:dyDescent="0.25">
      <c r="B17" s="5" t="s">
        <v>32</v>
      </c>
      <c r="C17" s="6"/>
    </row>
    <row r="18" spans="1:6" x14ac:dyDescent="0.25">
      <c r="B18" s="5" t="s">
        <v>33</v>
      </c>
      <c r="C18" s="6"/>
    </row>
    <row r="19" spans="1:6" x14ac:dyDescent="0.25">
      <c r="B19" s="5" t="s">
        <v>34</v>
      </c>
      <c r="C19" s="6"/>
    </row>
    <row r="20" spans="1:6" x14ac:dyDescent="0.25">
      <c r="B20" s="5" t="s">
        <v>35</v>
      </c>
      <c r="C20" s="6"/>
    </row>
    <row r="21" spans="1:6" x14ac:dyDescent="0.25">
      <c r="B21" s="5" t="s">
        <v>36</v>
      </c>
      <c r="C21" s="6"/>
    </row>
    <row r="22" spans="1:6" x14ac:dyDescent="0.25">
      <c r="B22" s="5" t="s">
        <v>37</v>
      </c>
      <c r="C22" s="6"/>
    </row>
    <row r="23" spans="1:6" x14ac:dyDescent="0.25">
      <c r="B23" s="5" t="s">
        <v>38</v>
      </c>
      <c r="C23" s="6"/>
    </row>
    <row r="24" spans="1:6" x14ac:dyDescent="0.25">
      <c r="B24" s="5" t="s">
        <v>39</v>
      </c>
      <c r="C24" s="6"/>
    </row>
    <row r="25" spans="1:6" x14ac:dyDescent="0.25">
      <c r="B25" s="5" t="s">
        <v>40</v>
      </c>
      <c r="C25" s="6"/>
    </row>
    <row r="31" spans="1:6" ht="15.75" thickBot="1" x14ac:dyDescent="0.3"/>
    <row r="32" spans="1:6" ht="15.75" thickBot="1" x14ac:dyDescent="0.3">
      <c r="A32" s="9" t="s">
        <v>41</v>
      </c>
      <c r="B32" s="10"/>
      <c r="C32" s="11" t="s">
        <v>42</v>
      </c>
      <c r="E32" s="12" t="s">
        <v>43</v>
      </c>
      <c r="F32" s="13" t="s">
        <v>44</v>
      </c>
    </row>
    <row r="33" spans="1:7" ht="16.5" hidden="1" x14ac:dyDescent="0.3">
      <c r="A33" s="14" t="s">
        <v>45</v>
      </c>
      <c r="B33" s="15" t="s">
        <v>46</v>
      </c>
      <c r="C33" s="16" t="s">
        <v>47</v>
      </c>
      <c r="E33" s="14">
        <v>2</v>
      </c>
      <c r="F33" s="17">
        <v>2</v>
      </c>
    </row>
    <row r="34" spans="1:7" hidden="1" x14ac:dyDescent="0.25">
      <c r="A34" s="18" t="s">
        <v>45</v>
      </c>
      <c r="B34" s="19" t="s">
        <v>48</v>
      </c>
      <c r="C34" s="20" t="s">
        <v>49</v>
      </c>
      <c r="E34" s="18">
        <v>255</v>
      </c>
      <c r="F34" s="21">
        <v>255</v>
      </c>
    </row>
    <row r="35" spans="1:7" hidden="1" x14ac:dyDescent="0.25">
      <c r="A35" s="18" t="s">
        <v>45</v>
      </c>
      <c r="B35" s="19" t="s">
        <v>50</v>
      </c>
      <c r="C35" s="20" t="s">
        <v>51</v>
      </c>
      <c r="E35" s="18">
        <v>0</v>
      </c>
      <c r="F35" s="21">
        <v>0</v>
      </c>
      <c r="G35" s="22" t="s">
        <v>52</v>
      </c>
    </row>
    <row r="36" spans="1:7" hidden="1" x14ac:dyDescent="0.25">
      <c r="A36" s="18" t="s">
        <v>45</v>
      </c>
      <c r="B36" s="19" t="s">
        <v>53</v>
      </c>
      <c r="C36" s="20" t="s">
        <v>54</v>
      </c>
      <c r="E36" s="18">
        <v>6</v>
      </c>
      <c r="F36" s="21">
        <v>6</v>
      </c>
    </row>
    <row r="37" spans="1:7" hidden="1" x14ac:dyDescent="0.25">
      <c r="A37" s="18" t="s">
        <v>45</v>
      </c>
      <c r="B37" s="19" t="s">
        <v>55</v>
      </c>
      <c r="C37" s="20" t="s">
        <v>56</v>
      </c>
      <c r="E37" s="18">
        <v>7</v>
      </c>
      <c r="F37" s="21">
        <v>7</v>
      </c>
    </row>
    <row r="38" spans="1:7" hidden="1" x14ac:dyDescent="0.25">
      <c r="A38" s="18" t="s">
        <v>57</v>
      </c>
      <c r="B38" s="19" t="s">
        <v>58</v>
      </c>
      <c r="C38" s="20" t="s">
        <v>59</v>
      </c>
      <c r="E38" s="18">
        <v>1</v>
      </c>
      <c r="F38" s="21">
        <v>0</v>
      </c>
    </row>
    <row r="39" spans="1:7" hidden="1" x14ac:dyDescent="0.25">
      <c r="A39" s="23" t="s">
        <v>60</v>
      </c>
      <c r="B39" s="24" t="s">
        <v>61</v>
      </c>
      <c r="C39" s="25" t="s">
        <v>62</v>
      </c>
      <c r="D39" s="26"/>
      <c r="E39" s="23" t="s">
        <v>63</v>
      </c>
      <c r="F39" s="27">
        <v>0</v>
      </c>
    </row>
    <row r="40" spans="1:7" ht="30" hidden="1" x14ac:dyDescent="0.25">
      <c r="A40" s="18" t="s">
        <v>64</v>
      </c>
      <c r="B40" s="19" t="s">
        <v>65</v>
      </c>
      <c r="C40" s="20" t="s">
        <v>66</v>
      </c>
      <c r="E40" s="18">
        <v>2</v>
      </c>
      <c r="F40" s="21">
        <v>2</v>
      </c>
    </row>
    <row r="41" spans="1:7" hidden="1" x14ac:dyDescent="0.25">
      <c r="A41" s="18" t="s">
        <v>64</v>
      </c>
      <c r="B41" s="19" t="s">
        <v>67</v>
      </c>
      <c r="C41" s="20" t="s">
        <v>68</v>
      </c>
      <c r="E41" s="18">
        <v>0.01</v>
      </c>
      <c r="F41" s="21">
        <v>0.01</v>
      </c>
    </row>
    <row r="42" spans="1:7" hidden="1" x14ac:dyDescent="0.25">
      <c r="A42" s="18" t="s">
        <v>64</v>
      </c>
      <c r="B42" s="19" t="s">
        <v>69</v>
      </c>
      <c r="C42" s="20" t="s">
        <v>70</v>
      </c>
      <c r="E42" s="18">
        <v>2E-3</v>
      </c>
      <c r="F42" s="21">
        <v>2E-3</v>
      </c>
    </row>
    <row r="43" spans="1:7" hidden="1" x14ac:dyDescent="0.25">
      <c r="A43" s="18" t="s">
        <v>64</v>
      </c>
      <c r="B43" s="19" t="s">
        <v>71</v>
      </c>
      <c r="C43" s="20" t="s">
        <v>72</v>
      </c>
      <c r="E43" s="18">
        <v>0</v>
      </c>
      <c r="F43" s="21">
        <v>0</v>
      </c>
    </row>
    <row r="44" spans="1:7" hidden="1" x14ac:dyDescent="0.25">
      <c r="A44" s="18" t="s">
        <v>57</v>
      </c>
      <c r="B44" s="19" t="s">
        <v>73</v>
      </c>
      <c r="C44" s="20" t="s">
        <v>74</v>
      </c>
      <c r="E44" s="18">
        <v>1</v>
      </c>
      <c r="F44" s="21">
        <v>0</v>
      </c>
    </row>
    <row r="45" spans="1:7" hidden="1" x14ac:dyDescent="0.25">
      <c r="A45" s="18" t="s">
        <v>57</v>
      </c>
      <c r="B45" s="19" t="s">
        <v>75</v>
      </c>
      <c r="C45" s="20" t="s">
        <v>76</v>
      </c>
      <c r="E45" s="18">
        <v>1</v>
      </c>
      <c r="F45" s="21">
        <v>1</v>
      </c>
    </row>
    <row r="46" spans="1:7" hidden="1" x14ac:dyDescent="0.25">
      <c r="A46" s="18" t="s">
        <v>77</v>
      </c>
      <c r="B46" s="19" t="s">
        <v>78</v>
      </c>
      <c r="C46" s="20" t="s">
        <v>79</v>
      </c>
      <c r="E46" s="18">
        <v>1</v>
      </c>
      <c r="F46" s="21">
        <v>1</v>
      </c>
    </row>
    <row r="47" spans="1:7" hidden="1" x14ac:dyDescent="0.25">
      <c r="A47" s="18" t="s">
        <v>77</v>
      </c>
      <c r="B47" s="19" t="s">
        <v>80</v>
      </c>
      <c r="C47" s="20" t="s">
        <v>81</v>
      </c>
      <c r="E47" s="18">
        <v>1</v>
      </c>
      <c r="F47" s="21">
        <v>0</v>
      </c>
    </row>
    <row r="48" spans="1:7" hidden="1" x14ac:dyDescent="0.25">
      <c r="A48" s="18" t="s">
        <v>77</v>
      </c>
      <c r="B48" s="19" t="s">
        <v>82</v>
      </c>
      <c r="C48" s="20" t="s">
        <v>83</v>
      </c>
      <c r="E48" s="18">
        <v>100</v>
      </c>
      <c r="F48" s="21">
        <v>25</v>
      </c>
    </row>
    <row r="49" spans="1:15" hidden="1" x14ac:dyDescent="0.25">
      <c r="A49" s="18" t="s">
        <v>77</v>
      </c>
      <c r="B49" s="19" t="s">
        <v>84</v>
      </c>
      <c r="C49" s="20" t="s">
        <v>85</v>
      </c>
      <c r="E49" s="18">
        <v>500</v>
      </c>
      <c r="F49" s="21">
        <v>750</v>
      </c>
    </row>
    <row r="50" spans="1:15" hidden="1" x14ac:dyDescent="0.25">
      <c r="A50" s="18" t="s">
        <v>77</v>
      </c>
      <c r="B50" s="19" t="s">
        <v>86</v>
      </c>
      <c r="C50" s="20" t="s">
        <v>87</v>
      </c>
      <c r="E50" s="18">
        <v>1000</v>
      </c>
      <c r="F50" s="21">
        <v>250</v>
      </c>
    </row>
    <row r="51" spans="1:15" hidden="1" x14ac:dyDescent="0.25">
      <c r="A51" s="18" t="s">
        <v>77</v>
      </c>
      <c r="B51" s="19" t="s">
        <v>88</v>
      </c>
      <c r="C51" s="20" t="s">
        <v>89</v>
      </c>
      <c r="E51" s="18">
        <v>5</v>
      </c>
      <c r="F51" s="28">
        <v>2</v>
      </c>
    </row>
    <row r="52" spans="1:15" hidden="1" x14ac:dyDescent="0.25">
      <c r="A52" s="18" t="s">
        <v>60</v>
      </c>
      <c r="B52" s="24" t="s">
        <v>90</v>
      </c>
      <c r="C52" s="25" t="s">
        <v>91</v>
      </c>
      <c r="D52" s="26"/>
      <c r="E52" s="29"/>
      <c r="F52" s="29"/>
    </row>
    <row r="53" spans="1:15" hidden="1" x14ac:dyDescent="0.25">
      <c r="A53" s="18" t="s">
        <v>45</v>
      </c>
      <c r="B53" s="19" t="s">
        <v>92</v>
      </c>
      <c r="C53" s="20" t="s">
        <v>93</v>
      </c>
      <c r="E53" s="30"/>
      <c r="F53" s="30"/>
    </row>
    <row r="54" spans="1:15" hidden="1" x14ac:dyDescent="0.25">
      <c r="A54" s="18" t="s">
        <v>60</v>
      </c>
      <c r="B54" s="24" t="s">
        <v>94</v>
      </c>
      <c r="C54" s="25" t="s">
        <v>95</v>
      </c>
      <c r="E54" s="30"/>
      <c r="F54" s="30"/>
    </row>
    <row r="55" spans="1:15" hidden="1" x14ac:dyDescent="0.25">
      <c r="A55" s="18" t="s">
        <v>60</v>
      </c>
      <c r="B55" s="24" t="s">
        <v>96</v>
      </c>
      <c r="C55" s="25" t="s">
        <v>97</v>
      </c>
      <c r="E55" s="30"/>
      <c r="F55" s="30"/>
    </row>
    <row r="56" spans="1:15" hidden="1" x14ac:dyDescent="0.25">
      <c r="A56" s="18" t="s">
        <v>60</v>
      </c>
      <c r="B56" s="24" t="s">
        <v>98</v>
      </c>
      <c r="C56" s="25" t="s">
        <v>99</v>
      </c>
      <c r="E56" s="30"/>
      <c r="F56" s="30"/>
    </row>
    <row r="57" spans="1:15" hidden="1" x14ac:dyDescent="0.25">
      <c r="A57" s="18" t="s">
        <v>45</v>
      </c>
      <c r="B57" s="19" t="s">
        <v>100</v>
      </c>
      <c r="C57" s="20" t="s">
        <v>101</v>
      </c>
      <c r="E57" s="18"/>
      <c r="F57" s="21">
        <v>7</v>
      </c>
    </row>
    <row r="58" spans="1:15" hidden="1" x14ac:dyDescent="0.25">
      <c r="A58" s="18" t="s">
        <v>77</v>
      </c>
      <c r="B58" s="19" t="s">
        <v>102</v>
      </c>
      <c r="C58" s="20" t="s">
        <v>103</v>
      </c>
      <c r="E58" s="18"/>
      <c r="F58" s="21">
        <v>1</v>
      </c>
    </row>
    <row r="59" spans="1:15" hidden="1" x14ac:dyDescent="0.25">
      <c r="A59" s="18" t="s">
        <v>77</v>
      </c>
      <c r="B59" s="19" t="s">
        <v>104</v>
      </c>
      <c r="C59" s="20" t="s">
        <v>105</v>
      </c>
      <c r="E59" s="18"/>
      <c r="F59" s="21">
        <v>2</v>
      </c>
    </row>
    <row r="60" spans="1:15" hidden="1" x14ac:dyDescent="0.25">
      <c r="A60" s="18" t="s">
        <v>77</v>
      </c>
      <c r="B60" s="19" t="s">
        <v>106</v>
      </c>
      <c r="C60" s="20" t="s">
        <v>107</v>
      </c>
      <c r="E60" s="18"/>
      <c r="F60" s="21">
        <v>5</v>
      </c>
    </row>
    <row r="61" spans="1:15" hidden="1" x14ac:dyDescent="0.25">
      <c r="A61" s="18" t="s">
        <v>77</v>
      </c>
      <c r="B61" s="19" t="s">
        <v>108</v>
      </c>
      <c r="C61" s="20" t="s">
        <v>109</v>
      </c>
      <c r="E61" s="18"/>
      <c r="F61" s="21">
        <v>0</v>
      </c>
    </row>
    <row r="62" spans="1:15" hidden="1" x14ac:dyDescent="0.25">
      <c r="A62" s="18"/>
      <c r="B62" s="19"/>
      <c r="C62" s="20"/>
      <c r="E62" s="18"/>
      <c r="F62" s="21"/>
    </row>
    <row r="63" spans="1:15" hidden="1" x14ac:dyDescent="0.25">
      <c r="A63" s="18"/>
      <c r="B63" s="19"/>
      <c r="C63" s="20"/>
      <c r="E63" s="18"/>
      <c r="F63" s="21"/>
    </row>
    <row r="64" spans="1:15" hidden="1" x14ac:dyDescent="0.25">
      <c r="A64" s="18" t="s">
        <v>110</v>
      </c>
      <c r="B64" s="19" t="s">
        <v>111</v>
      </c>
      <c r="C64" s="20" t="s">
        <v>112</v>
      </c>
      <c r="E64" s="18">
        <v>400</v>
      </c>
      <c r="F64" s="21">
        <f>G64*H64*I64/(J64*K64)</f>
        <v>400</v>
      </c>
      <c r="G64" s="18">
        <v>200</v>
      </c>
      <c r="H64" s="18">
        <v>16</v>
      </c>
      <c r="I64" s="18">
        <v>5</v>
      </c>
      <c r="J64" s="18">
        <v>20</v>
      </c>
      <c r="K64" s="18">
        <v>2</v>
      </c>
      <c r="L64" s="18" t="s">
        <v>113</v>
      </c>
      <c r="M64" s="31" t="s">
        <v>114</v>
      </c>
      <c r="N64">
        <f>F64/(G64*H64)</f>
        <v>0.125</v>
      </c>
      <c r="O64" t="s">
        <v>115</v>
      </c>
    </row>
    <row r="65" spans="1:15" x14ac:dyDescent="0.25">
      <c r="A65" s="18" t="s">
        <v>116</v>
      </c>
      <c r="B65" s="19" t="s">
        <v>117</v>
      </c>
      <c r="C65" s="20" t="s">
        <v>118</v>
      </c>
      <c r="E65" s="18">
        <v>80</v>
      </c>
      <c r="F65" s="21">
        <v>1276</v>
      </c>
      <c r="G65" s="18">
        <v>200</v>
      </c>
      <c r="H65" s="18">
        <v>64</v>
      </c>
      <c r="I65" s="18">
        <v>1</v>
      </c>
      <c r="J65" s="18">
        <v>20</v>
      </c>
      <c r="K65" s="18">
        <v>2</v>
      </c>
      <c r="L65" s="18" t="s">
        <v>113</v>
      </c>
      <c r="M65" s="31" t="s">
        <v>114</v>
      </c>
      <c r="N65">
        <f t="shared" ref="N65:N66" si="0">F65/(G65*H65)</f>
        <v>9.9687499999999998E-2</v>
      </c>
      <c r="O65" t="s">
        <v>115</v>
      </c>
    </row>
    <row r="66" spans="1:15" hidden="1" x14ac:dyDescent="0.25">
      <c r="A66" s="18" t="s">
        <v>119</v>
      </c>
      <c r="B66" s="19" t="s">
        <v>120</v>
      </c>
      <c r="C66" s="20" t="s">
        <v>121</v>
      </c>
      <c r="E66" s="18">
        <v>1200</v>
      </c>
      <c r="F66" s="21">
        <f t="shared" ref="F66" si="1">G66*H66*I66/(J66*K66)</f>
        <v>1200</v>
      </c>
      <c r="G66" s="18">
        <v>200</v>
      </c>
      <c r="H66" s="18">
        <v>16</v>
      </c>
      <c r="I66" s="18">
        <f>135</f>
        <v>135</v>
      </c>
      <c r="J66" s="18">
        <v>360</v>
      </c>
      <c r="K66" s="18">
        <v>1</v>
      </c>
      <c r="L66" s="18" t="s">
        <v>122</v>
      </c>
      <c r="M66" s="31" t="s">
        <v>114</v>
      </c>
      <c r="N66">
        <f t="shared" si="0"/>
        <v>0.375</v>
      </c>
      <c r="O66" t="s">
        <v>123</v>
      </c>
    </row>
    <row r="67" spans="1:15" hidden="1" x14ac:dyDescent="0.25">
      <c r="A67" s="18" t="s">
        <v>110</v>
      </c>
      <c r="B67" s="19" t="s">
        <v>124</v>
      </c>
      <c r="C67" s="20" t="s">
        <v>125</v>
      </c>
      <c r="E67" s="18">
        <v>5000</v>
      </c>
      <c r="F67" s="21">
        <v>5000</v>
      </c>
      <c r="G67">
        <f>F67/60</f>
        <v>83.333333333333329</v>
      </c>
      <c r="H67" t="s">
        <v>126</v>
      </c>
      <c r="J67" s="31" t="s">
        <v>114</v>
      </c>
      <c r="K67">
        <f>(F64*F67)</f>
        <v>2000000</v>
      </c>
      <c r="L67" t="s">
        <v>127</v>
      </c>
      <c r="M67" s="31" t="s">
        <v>114</v>
      </c>
      <c r="N67">
        <f>K67/(G64*H64)</f>
        <v>625</v>
      </c>
      <c r="O67" t="s">
        <v>128</v>
      </c>
    </row>
    <row r="68" spans="1:15" x14ac:dyDescent="0.25">
      <c r="A68" s="18" t="s">
        <v>116</v>
      </c>
      <c r="B68" s="19" t="s">
        <v>129</v>
      </c>
      <c r="C68" s="20" t="s">
        <v>130</v>
      </c>
      <c r="E68" s="18">
        <v>10000</v>
      </c>
      <c r="F68" s="21">
        <v>5000</v>
      </c>
      <c r="G68">
        <f t="shared" ref="G68:G69" si="2">F68/60</f>
        <v>83.333333333333329</v>
      </c>
      <c r="H68" t="s">
        <v>126</v>
      </c>
      <c r="J68" s="31" t="s">
        <v>114</v>
      </c>
      <c r="K68">
        <f>(F65*F68)</f>
        <v>6380000</v>
      </c>
      <c r="L68" t="s">
        <v>127</v>
      </c>
      <c r="M68" s="31" t="s">
        <v>114</v>
      </c>
      <c r="N68">
        <f>K68/(G65*H65)</f>
        <v>498.4375</v>
      </c>
      <c r="O68" t="s">
        <v>128</v>
      </c>
    </row>
    <row r="69" spans="1:15" hidden="1" x14ac:dyDescent="0.25">
      <c r="A69" s="18" t="s">
        <v>119</v>
      </c>
      <c r="B69" s="19" t="s">
        <v>131</v>
      </c>
      <c r="C69" s="20" t="s">
        <v>132</v>
      </c>
      <c r="E69" s="18">
        <v>900</v>
      </c>
      <c r="F69" s="21">
        <v>900</v>
      </c>
      <c r="G69">
        <f t="shared" si="2"/>
        <v>15</v>
      </c>
      <c r="H69" t="s">
        <v>133</v>
      </c>
      <c r="J69" s="31" t="s">
        <v>114</v>
      </c>
      <c r="K69">
        <f>(F66*F69)</f>
        <v>1080000</v>
      </c>
      <c r="L69" t="s">
        <v>127</v>
      </c>
      <c r="M69" s="31" t="s">
        <v>114</v>
      </c>
      <c r="N69">
        <f>K69/(G66*H66)</f>
        <v>337.5</v>
      </c>
      <c r="O69" t="s">
        <v>128</v>
      </c>
    </row>
    <row r="70" spans="1:15" hidden="1" x14ac:dyDescent="0.25">
      <c r="A70" s="18" t="s">
        <v>110</v>
      </c>
      <c r="B70" s="19" t="s">
        <v>134</v>
      </c>
      <c r="C70" s="20" t="s">
        <v>135</v>
      </c>
      <c r="E70" s="18">
        <v>120</v>
      </c>
      <c r="F70" s="21">
        <v>100</v>
      </c>
    </row>
    <row r="71" spans="1:15" x14ac:dyDescent="0.25">
      <c r="A71" s="18" t="s">
        <v>116</v>
      </c>
      <c r="B71" s="19" t="s">
        <v>136</v>
      </c>
      <c r="C71" s="20" t="s">
        <v>137</v>
      </c>
      <c r="E71" s="18">
        <v>100</v>
      </c>
      <c r="F71" s="21">
        <v>100</v>
      </c>
    </row>
    <row r="72" spans="1:15" hidden="1" x14ac:dyDescent="0.25">
      <c r="A72" s="18" t="s">
        <v>119</v>
      </c>
      <c r="B72" s="19" t="s">
        <v>138</v>
      </c>
      <c r="C72" s="20" t="s">
        <v>139</v>
      </c>
      <c r="E72" s="18">
        <v>5</v>
      </c>
      <c r="F72" s="21">
        <v>5</v>
      </c>
      <c r="G72" t="s">
        <v>140</v>
      </c>
    </row>
    <row r="73" spans="1:15" hidden="1" x14ac:dyDescent="0.25">
      <c r="A73" s="18" t="s">
        <v>110</v>
      </c>
      <c r="B73" s="19" t="s">
        <v>141</v>
      </c>
      <c r="C73" s="20" t="s">
        <v>142</v>
      </c>
      <c r="E73" s="18"/>
      <c r="F73" s="21">
        <v>1200</v>
      </c>
      <c r="G73" t="s">
        <v>143</v>
      </c>
    </row>
    <row r="74" spans="1:15" x14ac:dyDescent="0.25">
      <c r="A74" s="18" t="s">
        <v>116</v>
      </c>
      <c r="B74" s="19" t="s">
        <v>144</v>
      </c>
      <c r="C74" s="20" t="s">
        <v>145</v>
      </c>
      <c r="E74" s="18"/>
      <c r="F74" s="21">
        <v>600</v>
      </c>
      <c r="G74" t="s">
        <v>252</v>
      </c>
    </row>
    <row r="75" spans="1:15" hidden="1" x14ac:dyDescent="0.25">
      <c r="A75" s="18" t="s">
        <v>119</v>
      </c>
      <c r="B75" s="19" t="s">
        <v>146</v>
      </c>
      <c r="C75" s="20" t="s">
        <v>147</v>
      </c>
      <c r="E75" s="18"/>
      <c r="F75" s="21">
        <v>360</v>
      </c>
      <c r="G75" t="s">
        <v>148</v>
      </c>
    </row>
    <row r="76" spans="1:15" hidden="1" x14ac:dyDescent="0.25">
      <c r="A76" s="18" t="s">
        <v>110</v>
      </c>
      <c r="B76" s="19" t="s">
        <v>149</v>
      </c>
      <c r="C76" s="20" t="s">
        <v>150</v>
      </c>
      <c r="E76" s="18"/>
      <c r="F76" s="21">
        <v>1300</v>
      </c>
    </row>
    <row r="77" spans="1:15" x14ac:dyDescent="0.25">
      <c r="A77" s="18" t="s">
        <v>116</v>
      </c>
      <c r="B77" s="19" t="s">
        <v>151</v>
      </c>
      <c r="C77" s="20" t="s">
        <v>152</v>
      </c>
      <c r="E77" s="18"/>
      <c r="F77" s="21">
        <v>1123</v>
      </c>
    </row>
    <row r="78" spans="1:15" hidden="1" x14ac:dyDescent="0.25">
      <c r="A78" s="18" t="s">
        <v>119</v>
      </c>
      <c r="B78" s="19" t="s">
        <v>153</v>
      </c>
      <c r="C78" s="20" t="s">
        <v>154</v>
      </c>
      <c r="E78" s="18"/>
      <c r="F78" s="21">
        <v>1231</v>
      </c>
    </row>
    <row r="79" spans="1:15" hidden="1" x14ac:dyDescent="0.25">
      <c r="A79" s="18" t="s">
        <v>110</v>
      </c>
      <c r="B79" s="19" t="s">
        <v>155</v>
      </c>
      <c r="C79" s="20" t="s">
        <v>156</v>
      </c>
      <c r="E79" s="18"/>
      <c r="F79" s="21">
        <v>16</v>
      </c>
    </row>
    <row r="80" spans="1:15" x14ac:dyDescent="0.25">
      <c r="A80" s="18" t="s">
        <v>116</v>
      </c>
      <c r="B80" s="19" t="s">
        <v>157</v>
      </c>
      <c r="C80" s="20" t="s">
        <v>158</v>
      </c>
      <c r="E80" s="18"/>
      <c r="F80" s="21">
        <v>256</v>
      </c>
    </row>
    <row r="81" spans="1:6" hidden="1" x14ac:dyDescent="0.25">
      <c r="A81" s="18" t="s">
        <v>119</v>
      </c>
      <c r="B81" s="19" t="s">
        <v>159</v>
      </c>
      <c r="C81" s="20" t="s">
        <v>160</v>
      </c>
      <c r="E81" s="18"/>
      <c r="F81" s="21">
        <v>16</v>
      </c>
    </row>
    <row r="82" spans="1:6" hidden="1" x14ac:dyDescent="0.25">
      <c r="A82" s="18" t="s">
        <v>110</v>
      </c>
      <c r="B82" s="19" t="s">
        <v>161</v>
      </c>
      <c r="C82" s="20" t="s">
        <v>162</v>
      </c>
      <c r="E82" s="18"/>
      <c r="F82" s="21">
        <v>22</v>
      </c>
    </row>
    <row r="83" spans="1:6" x14ac:dyDescent="0.25">
      <c r="A83" s="18" t="s">
        <v>116</v>
      </c>
      <c r="B83" s="19" t="s">
        <v>163</v>
      </c>
      <c r="C83" s="20" t="s">
        <v>164</v>
      </c>
      <c r="E83" s="18"/>
      <c r="F83" s="21">
        <v>22</v>
      </c>
    </row>
    <row r="84" spans="1:6" hidden="1" x14ac:dyDescent="0.25">
      <c r="A84" s="18" t="s">
        <v>119</v>
      </c>
      <c r="B84" s="19" t="s">
        <v>165</v>
      </c>
      <c r="C84" s="20" t="s">
        <v>166</v>
      </c>
      <c r="E84" s="18"/>
      <c r="F84" s="21">
        <v>22</v>
      </c>
    </row>
    <row r="85" spans="1:6" hidden="1" x14ac:dyDescent="0.25">
      <c r="A85" s="18" t="s">
        <v>110</v>
      </c>
      <c r="B85" s="19" t="s">
        <v>167</v>
      </c>
      <c r="C85" s="20" t="s">
        <v>168</v>
      </c>
      <c r="E85" s="18"/>
      <c r="F85" s="21">
        <v>38</v>
      </c>
    </row>
    <row r="86" spans="1:6" x14ac:dyDescent="0.25">
      <c r="A86" s="18" t="s">
        <v>116</v>
      </c>
      <c r="B86" s="19" t="s">
        <v>169</v>
      </c>
      <c r="C86" s="20" t="s">
        <v>170</v>
      </c>
      <c r="E86" s="18"/>
      <c r="F86" s="21">
        <v>15</v>
      </c>
    </row>
    <row r="87" spans="1:6" hidden="1" x14ac:dyDescent="0.25">
      <c r="A87" s="18" t="s">
        <v>119</v>
      </c>
      <c r="B87" s="19" t="s">
        <v>171</v>
      </c>
      <c r="C87" s="20" t="s">
        <v>172</v>
      </c>
      <c r="E87" s="18"/>
      <c r="F87" s="21">
        <v>19</v>
      </c>
    </row>
    <row r="88" spans="1:6" hidden="1" x14ac:dyDescent="0.25">
      <c r="A88" s="18" t="s">
        <v>110</v>
      </c>
      <c r="B88" s="19" t="s">
        <v>173</v>
      </c>
      <c r="C88" s="20" t="s">
        <v>174</v>
      </c>
      <c r="E88" s="18"/>
      <c r="F88" s="21">
        <v>22</v>
      </c>
    </row>
    <row r="89" spans="1:6" x14ac:dyDescent="0.25">
      <c r="A89" s="18" t="s">
        <v>116</v>
      </c>
      <c r="B89" s="19" t="s">
        <v>175</v>
      </c>
      <c r="C89" s="20" t="s">
        <v>176</v>
      </c>
      <c r="E89" s="18"/>
      <c r="F89" s="21">
        <v>22</v>
      </c>
    </row>
    <row r="90" spans="1:6" hidden="1" x14ac:dyDescent="0.25">
      <c r="A90" s="18" t="s">
        <v>119</v>
      </c>
      <c r="B90" s="19" t="s">
        <v>177</v>
      </c>
      <c r="C90" s="20" t="s">
        <v>178</v>
      </c>
      <c r="E90" s="18"/>
      <c r="F90" s="21">
        <v>22</v>
      </c>
    </row>
    <row r="91" spans="1:6" hidden="1" x14ac:dyDescent="0.25">
      <c r="A91" s="18"/>
      <c r="B91" s="19"/>
      <c r="C91" s="20"/>
      <c r="E91" s="18"/>
      <c r="F91" s="21"/>
    </row>
    <row r="92" spans="1:6" hidden="1" x14ac:dyDescent="0.25">
      <c r="A92" s="18"/>
      <c r="B92" s="19"/>
      <c r="C92" s="20"/>
      <c r="E92" s="18"/>
      <c r="F92" s="21"/>
    </row>
    <row r="93" spans="1:6" hidden="1" x14ac:dyDescent="0.25">
      <c r="A93" s="18"/>
      <c r="B93" s="20"/>
      <c r="C93" s="20"/>
      <c r="E93" s="18"/>
      <c r="F93" s="21"/>
    </row>
    <row r="94" spans="1:6" ht="30" hidden="1" x14ac:dyDescent="0.25">
      <c r="A94" s="18" t="s">
        <v>179</v>
      </c>
      <c r="B94" s="32" t="s">
        <v>180</v>
      </c>
      <c r="C94" s="20" t="s">
        <v>181</v>
      </c>
      <c r="E94" s="18"/>
      <c r="F94" s="21">
        <v>7</v>
      </c>
    </row>
    <row r="95" spans="1:6" hidden="1" x14ac:dyDescent="0.25">
      <c r="A95" s="18" t="s">
        <v>77</v>
      </c>
      <c r="B95" s="20" t="s">
        <v>182</v>
      </c>
      <c r="C95" s="20" t="s">
        <v>183</v>
      </c>
      <c r="E95" s="18"/>
      <c r="F95" s="21">
        <v>0</v>
      </c>
    </row>
    <row r="96" spans="1:6" hidden="1" x14ac:dyDescent="0.25">
      <c r="A96" s="18" t="s">
        <v>179</v>
      </c>
      <c r="B96" s="32" t="s">
        <v>184</v>
      </c>
      <c r="C96" s="20" t="s">
        <v>185</v>
      </c>
      <c r="E96" s="18"/>
      <c r="F96" s="21">
        <v>5</v>
      </c>
    </row>
    <row r="97" spans="1:6" hidden="1" x14ac:dyDescent="0.25">
      <c r="A97" s="18" t="s">
        <v>179</v>
      </c>
      <c r="B97" s="32" t="s">
        <v>186</v>
      </c>
      <c r="C97" s="20" t="s">
        <v>187</v>
      </c>
      <c r="E97" s="18"/>
      <c r="F97" s="21">
        <v>1</v>
      </c>
    </row>
    <row r="98" spans="1:6" hidden="1" x14ac:dyDescent="0.25">
      <c r="A98" s="18" t="s">
        <v>179</v>
      </c>
      <c r="B98" s="33">
        <v>653</v>
      </c>
      <c r="C98" s="20" t="s">
        <v>188</v>
      </c>
      <c r="E98" s="18"/>
      <c r="F98" s="21">
        <v>0</v>
      </c>
    </row>
    <row r="99" spans="1:6" hidden="1" x14ac:dyDescent="0.25">
      <c r="A99" s="18" t="s">
        <v>179</v>
      </c>
      <c r="B99" s="32" t="s">
        <v>189</v>
      </c>
      <c r="C99" s="20" t="s">
        <v>190</v>
      </c>
      <c r="E99" s="18"/>
      <c r="F99" s="21">
        <v>3</v>
      </c>
    </row>
    <row r="100" spans="1:6" hidden="1" x14ac:dyDescent="0.25">
      <c r="A100" s="18" t="s">
        <v>179</v>
      </c>
      <c r="B100" s="32" t="s">
        <v>191</v>
      </c>
      <c r="C100" s="20" t="s">
        <v>192</v>
      </c>
      <c r="E100" s="18"/>
      <c r="F100" s="21">
        <v>5</v>
      </c>
    </row>
    <row r="101" spans="1:6" hidden="1" x14ac:dyDescent="0.25">
      <c r="A101" s="18" t="s">
        <v>179</v>
      </c>
      <c r="B101" s="33">
        <v>656</v>
      </c>
      <c r="C101" s="20" t="s">
        <v>193</v>
      </c>
      <c r="E101" s="18"/>
      <c r="F101" s="21" t="s">
        <v>194</v>
      </c>
    </row>
    <row r="102" spans="1:6" hidden="1" x14ac:dyDescent="0.25">
      <c r="A102" s="18" t="s">
        <v>179</v>
      </c>
      <c r="B102" s="32" t="s">
        <v>195</v>
      </c>
      <c r="C102" s="20" t="s">
        <v>196</v>
      </c>
      <c r="E102" s="18"/>
      <c r="F102" s="21">
        <v>0</v>
      </c>
    </row>
    <row r="103" spans="1:6" hidden="1" x14ac:dyDescent="0.25">
      <c r="A103" s="18" t="s">
        <v>179</v>
      </c>
      <c r="B103" s="32" t="s">
        <v>197</v>
      </c>
      <c r="C103" s="20" t="s">
        <v>198</v>
      </c>
      <c r="E103" s="18"/>
      <c r="F103" s="21">
        <v>5</v>
      </c>
    </row>
    <row r="104" spans="1:6" hidden="1" x14ac:dyDescent="0.25">
      <c r="A104" s="18" t="s">
        <v>179</v>
      </c>
      <c r="B104" s="32" t="s">
        <v>199</v>
      </c>
      <c r="C104" s="20" t="s">
        <v>200</v>
      </c>
      <c r="E104" s="18"/>
      <c r="F104" s="21">
        <v>0</v>
      </c>
    </row>
    <row r="105" spans="1:6" hidden="1" x14ac:dyDescent="0.25">
      <c r="A105" s="18" t="s">
        <v>179</v>
      </c>
      <c r="B105" s="32" t="s">
        <v>201</v>
      </c>
      <c r="C105" s="20" t="s">
        <v>202</v>
      </c>
      <c r="E105" s="18"/>
      <c r="F105" s="21">
        <v>2</v>
      </c>
    </row>
    <row r="106" spans="1:6" hidden="1" x14ac:dyDescent="0.25">
      <c r="A106" s="18" t="s">
        <v>179</v>
      </c>
      <c r="B106" s="32" t="s">
        <v>203</v>
      </c>
      <c r="C106" s="20" t="s">
        <v>204</v>
      </c>
      <c r="E106" s="18"/>
      <c r="F106" s="21">
        <v>1</v>
      </c>
    </row>
    <row r="107" spans="1:6" hidden="1" x14ac:dyDescent="0.25">
      <c r="A107" s="18" t="s">
        <v>179</v>
      </c>
      <c r="B107" s="32" t="s">
        <v>205</v>
      </c>
      <c r="C107" s="20" t="s">
        <v>206</v>
      </c>
      <c r="E107" s="18"/>
      <c r="F107" s="21">
        <v>0</v>
      </c>
    </row>
    <row r="108" spans="1:6" hidden="1" x14ac:dyDescent="0.25">
      <c r="A108" s="18"/>
      <c r="B108" s="20"/>
      <c r="C108" s="20"/>
      <c r="E108" s="18"/>
      <c r="F108" s="21"/>
    </row>
    <row r="109" spans="1:6" hidden="1" x14ac:dyDescent="0.25">
      <c r="A109" s="18" t="s">
        <v>45</v>
      </c>
      <c r="B109" s="20" t="s">
        <v>207</v>
      </c>
      <c r="C109" s="20" t="s">
        <v>208</v>
      </c>
      <c r="E109" s="18"/>
      <c r="F109" s="21">
        <v>0</v>
      </c>
    </row>
    <row r="110" spans="1:6" hidden="1" x14ac:dyDescent="0.25">
      <c r="A110" s="18"/>
      <c r="B110" s="20"/>
      <c r="C110" s="20"/>
      <c r="E110" s="18"/>
      <c r="F110" s="21"/>
    </row>
    <row r="111" spans="1:6" hidden="1" x14ac:dyDescent="0.25">
      <c r="A111" s="18"/>
      <c r="B111" s="20"/>
      <c r="C111" s="20"/>
      <c r="E111" s="18"/>
      <c r="F111" s="21"/>
    </row>
    <row r="112" spans="1:6" hidden="1" x14ac:dyDescent="0.25">
      <c r="A112" s="18"/>
      <c r="B112" s="20"/>
      <c r="C112" s="20"/>
      <c r="E112" s="18"/>
      <c r="F112" s="21"/>
    </row>
    <row r="113" spans="1:6" hidden="1" x14ac:dyDescent="0.25">
      <c r="A113" s="18"/>
      <c r="B113" s="20"/>
      <c r="C113" s="20"/>
      <c r="E113" s="18"/>
      <c r="F113" s="21"/>
    </row>
    <row r="114" spans="1:6" hidden="1" x14ac:dyDescent="0.25">
      <c r="A114" s="18" t="s">
        <v>209</v>
      </c>
      <c r="B114" s="20" t="s">
        <v>210</v>
      </c>
      <c r="C114" s="20" t="s">
        <v>211</v>
      </c>
      <c r="E114" s="18"/>
      <c r="F114" s="21"/>
    </row>
    <row r="115" spans="1:6" hidden="1" x14ac:dyDescent="0.25">
      <c r="A115" s="18"/>
      <c r="B115" s="20"/>
      <c r="C115" s="20"/>
      <c r="E115" s="18"/>
      <c r="F115" s="21"/>
    </row>
    <row r="116" spans="1:6" x14ac:dyDescent="0.25">
      <c r="B116" s="34"/>
      <c r="C116" s="34"/>
    </row>
    <row r="117" spans="1:6" x14ac:dyDescent="0.25">
      <c r="B117" s="34"/>
      <c r="C117" s="34"/>
    </row>
    <row r="118" spans="1:6" x14ac:dyDescent="0.25">
      <c r="B118" s="34"/>
      <c r="C118" s="34"/>
    </row>
    <row r="119" spans="1:6" x14ac:dyDescent="0.25">
      <c r="B119" s="34"/>
      <c r="C119" s="34"/>
    </row>
    <row r="120" spans="1:6" x14ac:dyDescent="0.25">
      <c r="B120" s="34"/>
      <c r="C120" s="34"/>
    </row>
    <row r="121" spans="1:6" x14ac:dyDescent="0.25">
      <c r="B121" s="34"/>
      <c r="C121" s="34"/>
    </row>
    <row r="122" spans="1:6" x14ac:dyDescent="0.25">
      <c r="B122" s="34"/>
      <c r="C122" s="34"/>
    </row>
    <row r="123" spans="1:6" x14ac:dyDescent="0.25">
      <c r="B123" s="34"/>
      <c r="C123" s="34"/>
    </row>
    <row r="124" spans="1:6" x14ac:dyDescent="0.25">
      <c r="B124" s="34"/>
      <c r="C124" s="34"/>
    </row>
    <row r="125" spans="1:6" x14ac:dyDescent="0.25">
      <c r="B125" s="34"/>
      <c r="C125" s="34"/>
    </row>
    <row r="126" spans="1:6" x14ac:dyDescent="0.25">
      <c r="B126" s="34"/>
      <c r="C126" s="34"/>
    </row>
    <row r="127" spans="1:6" x14ac:dyDescent="0.25">
      <c r="B127" s="34"/>
      <c r="C127" s="34"/>
    </row>
    <row r="128" spans="1:6" x14ac:dyDescent="0.25">
      <c r="B128" s="34"/>
      <c r="C128" s="34"/>
    </row>
    <row r="129" spans="2:3" x14ac:dyDescent="0.25">
      <c r="B129" s="34"/>
      <c r="C129" s="34"/>
    </row>
    <row r="130" spans="2:3" x14ac:dyDescent="0.25">
      <c r="B130" s="34"/>
      <c r="C130" s="34"/>
    </row>
    <row r="131" spans="2:3" x14ac:dyDescent="0.25">
      <c r="B131" s="34"/>
      <c r="C131" s="34"/>
    </row>
    <row r="132" spans="2:3" x14ac:dyDescent="0.25">
      <c r="B132" s="34"/>
      <c r="C132" s="34"/>
    </row>
    <row r="133" spans="2:3" x14ac:dyDescent="0.25">
      <c r="B133" s="34"/>
      <c r="C133" s="34"/>
    </row>
    <row r="134" spans="2:3" x14ac:dyDescent="0.25">
      <c r="B134" s="34"/>
      <c r="C134" s="34"/>
    </row>
    <row r="135" spans="2:3" x14ac:dyDescent="0.25">
      <c r="B135" s="34"/>
      <c r="C135" s="34"/>
    </row>
    <row r="138" spans="2:3" x14ac:dyDescent="0.25">
      <c r="B138" s="5" t="s">
        <v>212</v>
      </c>
      <c r="C138" s="6" t="s">
        <v>213</v>
      </c>
    </row>
    <row r="139" spans="2:3" x14ac:dyDescent="0.25">
      <c r="B139" s="5" t="s">
        <v>214</v>
      </c>
      <c r="C139" s="6" t="s">
        <v>215</v>
      </c>
    </row>
    <row r="140" spans="2:3" x14ac:dyDescent="0.25">
      <c r="B140" s="5" t="s">
        <v>216</v>
      </c>
      <c r="C140" s="6" t="s">
        <v>217</v>
      </c>
    </row>
    <row r="141" spans="2:3" x14ac:dyDescent="0.25">
      <c r="B141" s="5" t="s">
        <v>218</v>
      </c>
      <c r="C141" s="6" t="s">
        <v>219</v>
      </c>
    </row>
    <row r="142" spans="2:3" x14ac:dyDescent="0.25">
      <c r="B142" s="5" t="s">
        <v>220</v>
      </c>
      <c r="C142" s="6" t="s">
        <v>221</v>
      </c>
    </row>
    <row r="143" spans="2:3" x14ac:dyDescent="0.25">
      <c r="B143" s="5" t="s">
        <v>222</v>
      </c>
      <c r="C143" s="6" t="s">
        <v>223</v>
      </c>
    </row>
    <row r="144" spans="2:3" x14ac:dyDescent="0.25">
      <c r="B144" s="5" t="s">
        <v>224</v>
      </c>
      <c r="C144" s="6" t="s">
        <v>225</v>
      </c>
    </row>
    <row r="145" spans="2:3" x14ac:dyDescent="0.25">
      <c r="B145" s="5" t="s">
        <v>226</v>
      </c>
      <c r="C145" s="6" t="s">
        <v>227</v>
      </c>
    </row>
    <row r="146" spans="2:3" x14ac:dyDescent="0.25">
      <c r="B146" s="5" t="s">
        <v>228</v>
      </c>
      <c r="C146" s="6" t="s">
        <v>229</v>
      </c>
    </row>
    <row r="147" spans="2:3" x14ac:dyDescent="0.25">
      <c r="B147" s="5" t="s">
        <v>230</v>
      </c>
      <c r="C147" s="6" t="s">
        <v>231</v>
      </c>
    </row>
    <row r="148" spans="2:3" x14ac:dyDescent="0.25">
      <c r="B148" s="5" t="s">
        <v>232</v>
      </c>
      <c r="C148" s="6" t="s">
        <v>233</v>
      </c>
    </row>
    <row r="149" spans="2:3" x14ac:dyDescent="0.25">
      <c r="B149" s="5" t="s">
        <v>234</v>
      </c>
      <c r="C149" s="6" t="s">
        <v>235</v>
      </c>
    </row>
    <row r="150" spans="2:3" x14ac:dyDescent="0.25">
      <c r="B150" s="5" t="s">
        <v>236</v>
      </c>
      <c r="C150" s="6" t="s">
        <v>237</v>
      </c>
    </row>
    <row r="151" spans="2:3" x14ac:dyDescent="0.25">
      <c r="B151" s="5" t="s">
        <v>238</v>
      </c>
      <c r="C151" s="6" t="s">
        <v>239</v>
      </c>
    </row>
    <row r="152" spans="2:3" x14ac:dyDescent="0.25">
      <c r="B152" s="5" t="s">
        <v>240</v>
      </c>
      <c r="C152" s="6" t="s">
        <v>241</v>
      </c>
    </row>
    <row r="153" spans="2:3" x14ac:dyDescent="0.25">
      <c r="B153" s="5" t="s">
        <v>242</v>
      </c>
      <c r="C153" s="6" t="s">
        <v>243</v>
      </c>
    </row>
    <row r="154" spans="2:3" x14ac:dyDescent="0.25">
      <c r="B154" s="5" t="s">
        <v>244</v>
      </c>
      <c r="C154" s="6" t="s">
        <v>245</v>
      </c>
    </row>
    <row r="155" spans="2:3" x14ac:dyDescent="0.25">
      <c r="B155" s="5" t="s">
        <v>246</v>
      </c>
      <c r="C155" s="6" t="s">
        <v>247</v>
      </c>
    </row>
    <row r="156" spans="2:3" x14ac:dyDescent="0.25">
      <c r="B156" s="5" t="s">
        <v>248</v>
      </c>
      <c r="C156" s="6" t="s">
        <v>249</v>
      </c>
    </row>
    <row r="157" spans="2:3" x14ac:dyDescent="0.25">
      <c r="B157" s="5" t="s">
        <v>250</v>
      </c>
      <c r="C157" s="6" t="s">
        <v>251</v>
      </c>
    </row>
  </sheetData>
  <autoFilter ref="A32:F115" xr:uid="{25A3149C-ABCF-43A3-AA14-6EA6659D6F9E}">
    <filterColumn colId="0">
      <filters>
        <filter val="Y-Axis"/>
      </filters>
    </filterColumn>
  </autoFilter>
  <pageMargins left="0.7" right="0.7" top="0.75" bottom="0.75" header="0.3" footer="0.3"/>
  <pageSetup paperSize="9" scale="98"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1</vt:i4>
      </vt:variant>
      <vt:variant>
        <vt:lpstr>Benoemde bereiken</vt:lpstr>
      </vt:variant>
      <vt:variant>
        <vt:i4>1</vt:i4>
      </vt:variant>
    </vt:vector>
  </HeadingPairs>
  <TitlesOfParts>
    <vt:vector size="2" baseType="lpstr">
      <vt:lpstr>GRBLHAL Configuration</vt:lpstr>
      <vt:lpstr>'GRBLHAL Configuration'!Afdrukbereik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R. Smit</dc:creator>
  <cp:lastModifiedBy>JanRSmit</cp:lastModifiedBy>
  <dcterms:created xsi:type="dcterms:W3CDTF">2026-04-16T18:15:26Z</dcterms:created>
  <dcterms:modified xsi:type="dcterms:W3CDTF">2026-09-21T08:33:02Z</dcterms:modified>
</cp:coreProperties>
</file>